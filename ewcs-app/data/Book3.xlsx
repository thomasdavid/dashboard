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\Documents\dashboard\data\"/>
    </mc:Choice>
  </mc:AlternateContent>
  <xr:revisionPtr revIDLastSave="0" documentId="8_{42D29603-EFDE-47AD-A18B-4F72012E4E20}" xr6:coauthVersionLast="47" xr6:coauthVersionMax="47" xr10:uidLastSave="{00000000-0000-0000-0000-000000000000}"/>
  <bookViews>
    <workbookView xWindow="-108" yWindow="-108" windowWidth="23256" windowHeight="13896" activeTab="8" xr2:uid="{FC6CE68A-0BC7-4086-9BDD-23D0FBFC8B32}"/>
  </bookViews>
  <sheets>
    <sheet name="Sheet1" sheetId="1" r:id="rId1"/>
    <sheet name="Sheet2" sheetId="2" r:id="rId2"/>
    <sheet name="Sheet3" sheetId="3" r:id="rId3"/>
    <sheet name="Sheet5" sheetId="5" r:id="rId4"/>
    <sheet name="Sheet6" sheetId="6" r:id="rId5"/>
    <sheet name="Sheet7" sheetId="7" r:id="rId6"/>
    <sheet name="Sheet9" sheetId="9" r:id="rId7"/>
    <sheet name="Sheet10" sheetId="10" r:id="rId8"/>
    <sheet name="Sheet11" sheetId="11" r:id="rId9"/>
    <sheet name="Sheet8" sheetId="8" r:id="rId10"/>
    <sheet name="Sheet4" sheetId="4" r:id="rId11"/>
  </sheets>
  <definedNames>
    <definedName name="_xlnm._FilterDatabase" localSheetId="6" hidden="1">Sheet9!$A$1:$E$211</definedName>
    <definedName name="data1">Sheet4!$A$1:$B$136</definedName>
    <definedName name="data3">Sheet8!$A$1:$B$99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7" l="1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3" i="7"/>
  <c r="F4" i="7"/>
  <c r="F5" i="7"/>
  <c r="F6" i="7"/>
  <c r="F2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3" i="7"/>
  <c r="E4" i="7"/>
  <c r="E2" i="7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" i="5"/>
  <c r="G1" i="3"/>
  <c r="F1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3" i="3"/>
  <c r="E2" i="3"/>
</calcChain>
</file>

<file path=xl/sharedStrings.xml><?xml version="1.0" encoding="utf-8"?>
<sst xmlns="http://schemas.openxmlformats.org/spreadsheetml/2006/main" count="5885" uniqueCount="1814">
  <si>
    <t xml:space="preserve">EWCSR3 | Q.1     | What is your nationality? Please tell me the country (or countries) that apply. | </t>
  </si>
  <si>
    <t xml:space="preserve">EWCSR3 | Q.2a    | What is your main paid job? Please give me your job title. | </t>
  </si>
  <si>
    <t xml:space="preserve">EWCSR3 | Q.3a    | How many years have you been in your company or organisation? | </t>
  </si>
  <si>
    <t xml:space="preserve">EWCSR3 | Q.3b    | How many years have you been in your present main job? | </t>
  </si>
  <si>
    <t>EWCSR3 | Q.4a    | Are you mainly: Self-employed (with/without employees)</t>
  </si>
  <si>
    <t xml:space="preserve"> Employed</t>
  </si>
  <si>
    <t xml:space="preserve"> or Other? | </t>
  </si>
  <si>
    <t>EWCSR3 | Q.4b    | Is it: On an unlimited permanent contract</t>
  </si>
  <si>
    <t xml:space="preserve"> fixed term contract</t>
  </si>
  <si>
    <t xml:space="preserve"> temporary agency contract</t>
  </si>
  <si>
    <t xml:space="preserve"> apprenticeship</t>
  </si>
  <si>
    <t xml:space="preserve"> or other? | </t>
  </si>
  <si>
    <t xml:space="preserve">EWCSR3 | Q.4c    | What is the exact duration of the contract in number of years and months? | </t>
  </si>
  <si>
    <t xml:space="preserve">EWCSR3 | Q.5     | What is the main activity of the company or organisation where you work? | </t>
  </si>
  <si>
    <t>EWCSR3 | Q.6     | Are you working in: National or local government services</t>
  </si>
  <si>
    <t xml:space="preserve"> State-owned company</t>
  </si>
  <si>
    <t xml:space="preserve"> Another company/business</t>
  </si>
  <si>
    <t xml:space="preserve">EWCSR3 | Q.7     | How many people in total work in the local unit of the establishment where you work? | </t>
  </si>
  <si>
    <t>EWCSR3 | Q.8     | How many people work under your supervision</t>
  </si>
  <si>
    <t xml:space="preserve"> for whom pay increases</t>
  </si>
  <si>
    <t xml:space="preserve"> bonuses or promotion depend directly on you? | </t>
  </si>
  <si>
    <t>EWCSR3 | Q.9     | Besides your main paid job</t>
  </si>
  <si>
    <t xml:space="preserve"> do you have any other paid job? | </t>
  </si>
  <si>
    <t xml:space="preserve">EWCSR3 | Q.10    | For how many hours a week (in other paid job)? | </t>
  </si>
  <si>
    <t>EWCSR3 | Q.11.1  | Are you exposed at work to: Vibrations from hand tools</t>
  </si>
  <si>
    <t xml:space="preserve"> machinery</t>
  </si>
  <si>
    <t xml:space="preserve"> etc.? | q10a</t>
  </si>
  <si>
    <t>EWCSR3 | Q.11.2  | Are you exposed at work to: Noise so loud that you would have to raise your voice to talk to people? | q10b</t>
  </si>
  <si>
    <t>EWCSR3 | Q.11.3  | Are you exposed at work to: High temperatures which make you perspire even when not working? | q10c</t>
  </si>
  <si>
    <t>EWCSR3 | Q.11.4  | Are you exposed at work to: Low temperatures whether indoors or outdoors? | q10d</t>
  </si>
  <si>
    <t>EWCSR3 | Q.11.5  | Are you exposed at work to: Breathing in vapours</t>
  </si>
  <si>
    <t xml:space="preserve"> fumes</t>
  </si>
  <si>
    <t xml:space="preserve"> dust</t>
  </si>
  <si>
    <t xml:space="preserve"> or dangerous substances such as chemicals</t>
  </si>
  <si>
    <t xml:space="preserve"> infectious materials</t>
  </si>
  <si>
    <t xml:space="preserve"> etc.? | q10f</t>
  </si>
  <si>
    <t>EWCSR3 | Q.11.6  | Are you exposed at work to: Handling or touching dangerous products or substances? | q10g</t>
  </si>
  <si>
    <t>EWCSR3 | Q.11.7  | Are you exposed at work to: Radiation such as X-rays</t>
  </si>
  <si>
    <t xml:space="preserve"> radioactive radiation</t>
  </si>
  <si>
    <t xml:space="preserve"> welding light</t>
  </si>
  <si>
    <t xml:space="preserve"> laser beams? | q10i</t>
  </si>
  <si>
    <t>EWCSR3 | Q.12.1  | Does your main paid job involve: Painful or tiring positions? | q11a</t>
  </si>
  <si>
    <t>EWCSR3 | Q.12.2  | Does your main paid job involve: Carrying or moving heavy loads? | q11b</t>
  </si>
  <si>
    <t>EWCSR3 | Q.12.3  | Does your main paid job involve: Repetitive hand or arm movements? | q11e</t>
  </si>
  <si>
    <t>EWCSR3 | Q.12.4  | Does your main paid job involve: Working with computers: PCs</t>
  </si>
  <si>
    <t xml:space="preserve"> network</t>
  </si>
  <si>
    <t xml:space="preserve"> mainframe? | q11f</t>
  </si>
  <si>
    <t>EWCSR3 | Q.12.5  | Does your main paid job involve: Teleworking from home with a PC? | q11g</t>
  </si>
  <si>
    <t>EWCSR3 | Q.12.6  | Does your main paid job involve: Working at home (home being your normal workplace)</t>
  </si>
  <si>
    <t xml:space="preserve"> excluding teleworking? | q11h</t>
  </si>
  <si>
    <t>EWCSR3 | Q.12.7  | Does your main paid job involve: Dealing directly with people who are not employees at your workplace... | q11i</t>
  </si>
  <si>
    <t>EWCSR3 | Q.12.8  | Does your main paid job involve: Wearing personal protective equipment? | q11j</t>
  </si>
  <si>
    <t xml:space="preserve">EWCSR3 | Q.13    | Would you say you are very well informed about risks? | </t>
  </si>
  <si>
    <t>EWCSR3 | Q.14    | How many hours do you usually work per week</t>
  </si>
  <si>
    <t xml:space="preserve"> in your main paid job? | </t>
  </si>
  <si>
    <t>EWCSR3 | Q.15    | In total</t>
  </si>
  <si>
    <t xml:space="preserve"> how many minutes per day do you normally spend travelling...? | </t>
  </si>
  <si>
    <t>EWCSR3 | Q.16a   | Normally</t>
  </si>
  <si>
    <t xml:space="preserve"> how many times a month do you work at night...? | q16a</t>
  </si>
  <si>
    <t>EWCSR3 | Q.16b   | Evening work frequency | q16b</t>
  </si>
  <si>
    <t>EWCSR3 | Q.16c   | Sunday work frequency | q16c</t>
  </si>
  <si>
    <t>EWCSR3 | Q.16d   | Saturday work frequency | q16d</t>
  </si>
  <si>
    <t>EWCSR3 | Q.16e   | More than 10 hours a day | q16e</t>
  </si>
  <si>
    <t>EWCSR3 | Q.17a   | Do you work part-time? | q17a</t>
  </si>
  <si>
    <t>EWCSR3 | Q.17b   | Would you like to work more/less/same? | q17b</t>
  </si>
  <si>
    <t>EWCSR3 | Q.18a.1 | Same number of hours every day? | q18a1</t>
  </si>
  <si>
    <t>EWCSR3 | Q.18a.2 | Same number of days every week? | q18a2</t>
  </si>
  <si>
    <t>EWCSR3 | Q.18a.3 | Fixed starting and finishing times? | q18a3</t>
  </si>
  <si>
    <t>EWCSR3 | Q.18a.4 | Work in the daytime? | q18a4</t>
  </si>
  <si>
    <t>EWCSR3 | Q.18b   | Do you work shifts? | q18b</t>
  </si>
  <si>
    <t>EWCSR3 | Q.18c   | Type of shift pattern? | q18c</t>
  </si>
  <si>
    <t>EWCSR3 | Q.19a   | How often do your schedules change? | q19a</t>
  </si>
  <si>
    <t>EWCSR3 | Q.19b   | How many days in advance do you know? | q19b</t>
  </si>
  <si>
    <t>EWCSR3 | Q.20    | Working hours fit family/social life? | q20</t>
  </si>
  <si>
    <t>EWCSR3 | Q.21a   | Short repetitive tasks | q20a_a / q20a_b</t>
  </si>
  <si>
    <t>EWCSR3 | Q.21b.1 | Working at very high speed | q2101</t>
  </si>
  <si>
    <t>EWCSR3 | Q.21b.2 | Working to tight deadlines | q2102</t>
  </si>
  <si>
    <t>EWCSR3 | Q.22.1  | Pace dependent on colleagues | q2103</t>
  </si>
  <si>
    <t>EWCSR3 | Q.22.2  | Pace dependent on customers | q2104</t>
  </si>
  <si>
    <t>EWCSR3 | Q.22.3  | Pace dependent on targets | q2105</t>
  </si>
  <si>
    <t>EWCSR3 | Q.22.4  | Pace dependent on machines | q2106</t>
  </si>
  <si>
    <t>EWCSR3 | Q.22.5  | Pace dependent on boss | q2205</t>
  </si>
  <si>
    <t>EWCSR3 | Q.23a   | How often do you have to interrupt a task... | q23a</t>
  </si>
  <si>
    <t>EWCSR3 | Q.23b   | Interruptions due to what? | q23b</t>
  </si>
  <si>
    <t>EWCSR3 | Q.23c   | Are interruptions disruptive? | q23c</t>
  </si>
  <si>
    <t>EWCSR3 | Q.24.1  | Job involves: quality standards | q24a</t>
  </si>
  <si>
    <t>EWCSR3 | Q.24.2  | Job involves: assess own quality | q24b</t>
  </si>
  <si>
    <t>EWCSR3 | Q.24.3  | Job involves: solving unforeseen problems | q24c</t>
  </si>
  <si>
    <t>EWCSR3 | Q.24.4  | Job involves: monotonous tasks | q24d</t>
  </si>
  <si>
    <t>EWCSR3 | Q.24.5  | Job involves: complex tasks | q24e</t>
  </si>
  <si>
    <t>EWCSR3 | Q.24.6  | Job involves: learning new things | q24f</t>
  </si>
  <si>
    <t>EWCSR3 | Q.25    | Can choose tasks/methods/speed | q25</t>
  </si>
  <si>
    <t>EWCSR3 | Q.26.1  | Can get assistance from colleagues | q26a</t>
  </si>
  <si>
    <t>EWCSR3 | Q.26.2  | Can take break when you wish | q26b</t>
  </si>
  <si>
    <t>EWCSR3 | Q.26.3  | Can decide holidays/days off | q26c</t>
  </si>
  <si>
    <t>EWCSR3 | Q.26.4  | Can influence working hours | q26d</t>
  </si>
  <si>
    <t>EWCSR3 | Q.26.5  | Enough time to get job done | q26e</t>
  </si>
  <si>
    <t>EWCSR3 | Q.26.6  | Access to a telephone | q26f</t>
  </si>
  <si>
    <t>EWCSR3 | Q.27a   | Responsibility for planning/staffing/shifts | q27a</t>
  </si>
  <si>
    <t>EWCSR3 | Q.27b   | Rotating tasks / teamwork | q27b</t>
  </si>
  <si>
    <t>EWCSR3 | Q.28    | Skills match job demands | q28</t>
  </si>
  <si>
    <t>EWCSR3 | Q.29    | Employer-paid training | q29</t>
  </si>
  <si>
    <t>EWCSR3 | Q.30a   | Able to discuss working conditions | q30a</t>
  </si>
  <si>
    <t>EWCSR3 | Q.30b   | How discussions take place | q30b</t>
  </si>
  <si>
    <t>EWCSR3 | Q.30c   | Do discussions lead to improvements | q30c</t>
  </si>
  <si>
    <t>EWCSR3 | Q.31    | Subjected to violence/discrimination | q31</t>
  </si>
  <si>
    <t>EWCSR3 | Q.32    | Awareness of violence/discrimination | q32</t>
  </si>
  <si>
    <t>EWCSR3 | Q.33    | Is your immediate boss a man or a woman? | q33_n</t>
  </si>
  <si>
    <t>EWCSR3 | Q.34    | Is health or safety at risk? | q34</t>
  </si>
  <si>
    <t>EWCSR3 | Q.35    | Does your work affect your health? | q35</t>
  </si>
  <si>
    <t>EWCSR3 | Q.36a   | Days absent due to accident | q36a</t>
  </si>
  <si>
    <t>EWCSR3 | Q.36b   | Days absent due to work health problems | q36b</t>
  </si>
  <si>
    <t>EWCSR3 | Q.36c   | Days absent due to other health problems | q36c</t>
  </si>
  <si>
    <t>EWCSR3 | EF.11   | How old are you? | ef11</t>
  </si>
  <si>
    <t>EWCSR3 | Q.37    | Able to do same job at 60? | q37</t>
  </si>
  <si>
    <t xml:space="preserve">EWCSR4 | Q1   | What is your nationality? | </t>
  </si>
  <si>
    <t>EWCSR4 | Q2a  | What is your main paid job? Please give me your job title. | emp_title</t>
  </si>
  <si>
    <t>EWCSR4 | Q2b  | How old were you when you stopped your full-time education? | edu_end_age</t>
  </si>
  <si>
    <t>EWCSR4 | Q2c  | Are you mainly: Self-employed (with/without employees)</t>
  </si>
  <si>
    <t xml:space="preserve"> or Other? | emp_status</t>
  </si>
  <si>
    <t>EWCSR4 | Q3a  | (If Employed) Is it: permanent / fixed term / agency / apprenticeship / other? | contract_type</t>
  </si>
  <si>
    <t>EWCSR4 | Q3b  | (If fixed term) Exact duration of the contract (years</t>
  </si>
  <si>
    <t xml:space="preserve"> months) | contract_duration</t>
  </si>
  <si>
    <t>EWCSR4 | Q4   | What is the main activity of the company or organisation where you work? | nace_main</t>
  </si>
  <si>
    <t>EWCSR4 | Q5   | Sector of employment (public/private/joint/non-profit/other) | sector_type</t>
  </si>
  <si>
    <t>EWCSR4 | Q6   | How many people work in your local unit? | est_size</t>
  </si>
  <si>
    <t>EWCSR4 | Q7   | How many people work under your supervision? | supervisor_count</t>
  </si>
  <si>
    <t>EWCSR4 | Q8a  | How many years in your organisation? | tenure_org</t>
  </si>
  <si>
    <t>EWCSR4 | Q8b  | How many years in your present main job? | tenure_job</t>
  </si>
  <si>
    <t>EWCSR4 | Q9a  | Besides your main job</t>
  </si>
  <si>
    <t xml:space="preserve"> do you have any other paid job? | other_job</t>
  </si>
  <si>
    <t>EWCSR4 | Q9b  | (If yes) Regular</t>
  </si>
  <si>
    <t xml:space="preserve"> occasional or seasonal? | other_job_type</t>
  </si>
  <si>
    <t>EWCSR4 | Q9c  | (If regular) How many hours per week? | other_job_hours</t>
  </si>
  <si>
    <t>EWCSR4 | Q10a | Exposure to vibration | q10a</t>
  </si>
  <si>
    <t>EWCSR4 | Q10b | Exposure to loud noise | q10b</t>
  </si>
  <si>
    <t>EWCSR4 | Q10c | Exposure to high temperatures | q10c</t>
  </si>
  <si>
    <t>EWCSR4 | Q10d | Exposure to low temperatures | q10d</t>
  </si>
  <si>
    <t>EWCSR4 | Q10e | Exposure to smoke</t>
  </si>
  <si>
    <t xml:space="preserve"> fumes or dust | q10e</t>
  </si>
  <si>
    <t>EWCSR4 | Q10f | Exposure to vapours (solvents</t>
  </si>
  <si>
    <t xml:space="preserve"> thinners) | q10f</t>
  </si>
  <si>
    <t>EWCSR4 | Q10g | Contact with chemical products or substances | q10g</t>
  </si>
  <si>
    <t>EWCSR4 | Q10h | Exposure to radiation (X-rays</t>
  </si>
  <si>
    <t xml:space="preserve"> lasers) | q10h</t>
  </si>
  <si>
    <t>EWCSR4 | Q10i | Exposure to tobacco smoke at work | q10i</t>
  </si>
  <si>
    <t>EWCSR4 | Q10j | Contact with infectious materials | q10j</t>
  </si>
  <si>
    <t>EWCSR4 | Q11a | Tiring or painful positions | q11a</t>
  </si>
  <si>
    <t>EWCSR4 | Q11b | Lifting or moving people | q11b</t>
  </si>
  <si>
    <t>EWCSR4 | Q11c | Carrying or moving heavy loads | q11c</t>
  </si>
  <si>
    <t>EWCSR4 | Q11d | Standing | q11d</t>
  </si>
  <si>
    <t>EWCSR4 | Q11e | Repetitive hand or arm movements | q11e</t>
  </si>
  <si>
    <t>EWCSR4 | Q11f | Working with computers | q11f</t>
  </si>
  <si>
    <t>EWCSR4 | Q11g | Using internet/email for work | q11g</t>
  </si>
  <si>
    <t>EWCSR4 | Q11h | Teleworking from home | q11h</t>
  </si>
  <si>
    <t>EWCSR4 | Q11i | Working at home (excluding telework) | q11i</t>
  </si>
  <si>
    <t>EWCSR4 | Q11j | Dealing directly with customers/passengers/patients | q11j</t>
  </si>
  <si>
    <t>EWCSR4 | Q11k | Wearing personal protective equipment | q11k</t>
  </si>
  <si>
    <t>EWCSR4 | Q12  | How well informed about health and safety risks | q12</t>
  </si>
  <si>
    <t>EWCSR4 | Q13  | Hours worked per week | hours_week</t>
  </si>
  <si>
    <t>EWCSR4 | Q14  | Days worked per week | days_week</t>
  </si>
  <si>
    <t>EWCSR4 | Q15  | Minutes spent commuting per day | commute_minutes</t>
  </si>
  <si>
    <t>EWCSR4 | Q16a | Night work frequency | night_freq</t>
  </si>
  <si>
    <t>EWCSR4 | Q16b | Evening work frequency | evening_freq</t>
  </si>
  <si>
    <t>EWCSR4 | Q16c | Sunday work frequency | sunday_freq</t>
  </si>
  <si>
    <t>EWCSR4 | Q16d | Saturday work frequency | saturday_freq</t>
  </si>
  <si>
    <t>EWCSR4 | Q16e | Work more than 10 hours/day | longday_freq</t>
  </si>
  <si>
    <t>EWCSR4 | Q17a | Do you work part-time? | parttime</t>
  </si>
  <si>
    <t>EWCSR4 | Q17b | Would you like more/less/same hours? | hours_preference</t>
  </si>
  <si>
    <t>EWCSR4 | Q18a | Same number of hours every day | q16a_a</t>
  </si>
  <si>
    <t>EWCSR4 | Q18b | Same number of days every week | q16a_b</t>
  </si>
  <si>
    <t>EWCSR4 | Q18c | Same number of hours every week | q16a_c</t>
  </si>
  <si>
    <t>EWCSR4 | Q18d | Fixed starting and finishing times | q16a_d</t>
  </si>
  <si>
    <t>EWCSR4 | Q18e | Do you work shifts? | q16a_e</t>
  </si>
  <si>
    <t>EWCSR4 | Q19  | Type of shift pattern | shift_type</t>
  </si>
  <si>
    <t>EWCSR4 | Q20a | How often you interrupt tasks | q19a</t>
  </si>
  <si>
    <t>EWCSR4 | Q20b | Are interruptions disruptive/neutral/positive | q19b</t>
  </si>
  <si>
    <t>EWCSR4 | Q21a | Short repetitive tasks (&lt;1 min) | q20a_a</t>
  </si>
  <si>
    <t>EWCSR4 | Q21b | Repetition of same movements | q20a_b</t>
  </si>
  <si>
    <t>EWCSR4 | Q22a | Working at very high speed | q20b_a</t>
  </si>
  <si>
    <t>EWCSR4 | Q22b | Working to tight deadlines | q20b_b</t>
  </si>
  <si>
    <t>EWCSR4 | Q23a | Pace dependent on colleagues | q21a</t>
  </si>
  <si>
    <t>EWCSR4 | Q23b | Pace dependent on direct demands from people | q21b</t>
  </si>
  <si>
    <t>EWCSR4 | Q23c | Pace dependent on numerical/performance targets | q21c</t>
  </si>
  <si>
    <t>EWCSR4 | Q23d | Pace dependent on automatic speed of a machine/product | q21d ✅</t>
  </si>
  <si>
    <t>EWCSR4 | Q23e | Pace dependent on direct control of your boss | q21e</t>
  </si>
  <si>
    <t>EWCSR4 | Q24a | Meeting precise quality standards | q22a</t>
  </si>
  <si>
    <t>EWCSR4 | Q24b | Assessing quality of own work | q22b</t>
  </si>
  <si>
    <t>EWCSR4 | Q24c | Solving unforeseen problems | q22c</t>
  </si>
  <si>
    <t>EWCSR4 | Q24d | Monotonous tasks | q22d</t>
  </si>
  <si>
    <t>EWCSR4 | Q24e | Complex tasks | q22e</t>
  </si>
  <si>
    <t>EWCSR4 | Q24f | Learning new things | q22f</t>
  </si>
  <si>
    <t>EWCSR4 | Q25a | Able to choose order of tasks | q23a</t>
  </si>
  <si>
    <t>EWCSR4 | Q25b | Able to choose methods of work | q23b</t>
  </si>
  <si>
    <t>EWCSR4 | Q25c | Able to choose speed/rate of work | q23c</t>
  </si>
  <si>
    <t>EWCSR4 | Q26a | Can get assistance from colleagues | q24a</t>
  </si>
  <si>
    <t>EWCSR4 | Q26b | Can take break when you want | q24b</t>
  </si>
  <si>
    <t>EWCSR4 | Q26c | Can decide holidays/days off | q24c</t>
  </si>
  <si>
    <t>EWCSR4 | Q26d | Can influence your working hours | q24d</t>
  </si>
  <si>
    <t>EWCSR4 | Q26e | Have enough time to get job done | q24e</t>
  </si>
  <si>
    <t>EWCSR4 | Q26f | Know what is expected of you | q24f</t>
  </si>
  <si>
    <t>EWCSR4 | Q26g | Job requires hiding feelings | q24g</t>
  </si>
  <si>
    <t>EWCSR4 | Q26h | Access to telephone for private calls | q24h</t>
  </si>
  <si>
    <t>EWCSR4 | Q27  | Skills match job demands | q25</t>
  </si>
  <si>
    <t>EWCSR4 | Q28a | Employer-paid training | q26a</t>
  </si>
  <si>
    <t>EWCSR4 | Q28b | Number of training days | q26b</t>
  </si>
  <si>
    <t>EWCSR4 | Q29a | Training paid by yourself | q26c</t>
  </si>
  <si>
    <t>EWCSR4 | Q29b | Learning by doing on the job | q26d</t>
  </si>
  <si>
    <t>EWCSR4 | Q30a | Able to discuss working conditions | q27a</t>
  </si>
  <si>
    <t>EWCSR4 | Q30b | Able to discuss organisation of work | q27b</t>
  </si>
  <si>
    <t>EWCSR4 | Q31  | Working hours fit family/social life | q28</t>
  </si>
  <si>
    <t>EWCSR4 | Q32a | Physical violence from people at work | q29a</t>
  </si>
  <si>
    <t>EWCSR4 | Q32b | Physical violence from other people | q29b</t>
  </si>
  <si>
    <t>EWCSR4 | Q32c | Threats of physical violence | q29c</t>
  </si>
  <si>
    <t>EWCSR4 | Q32d | Intimidation/bullying/mobbing | q29d</t>
  </si>
  <si>
    <t>EWCSR4 | Q32e | Sexual discrimination | q29e</t>
  </si>
  <si>
    <t>EWCSR4 | Q32f | Unwanted sexual attention | q29f</t>
  </si>
  <si>
    <t>EWCSR4 | Q32g | Age discrimination | q29g</t>
  </si>
  <si>
    <t>EWCSR4 | Q32h | Nationality discrimination | q29h</t>
  </si>
  <si>
    <t>EWCSR4 | Q32i | Ethnic discrimination | q29i</t>
  </si>
  <si>
    <t>EWCSR4 | Q32j | Religious discrimination | q29j</t>
  </si>
  <si>
    <t>EWCSR4 | Q32k | Disability discrimination | q29k</t>
  </si>
  <si>
    <t>EWCSR4 | Q32l | Sexual orientation discrimination | q29l ✅</t>
  </si>
  <si>
    <t>EWCSR4 | Q33  | Health or safety at risk because of your work | q32</t>
  </si>
  <si>
    <t>EWCSR4 | Q34a | Health affected: Hearing problems | q33a_a</t>
  </si>
  <si>
    <t>EWCSR4 | Q34b | Health affected: Vision problems | q33a_b</t>
  </si>
  <si>
    <t>EWCSR4 | Q34c | Health affected: Skin problems | q33a_c</t>
  </si>
  <si>
    <t>EWCSR4 | Q34d | Health affected: Backache | q33a_d</t>
  </si>
  <si>
    <t>EWCSR4 | Q34e | Health affected: Headaches | q33a_e ✅</t>
  </si>
  <si>
    <t>EWCSR4 | Q34f | Health affected: Stomach ache | q33a_f</t>
  </si>
  <si>
    <t>EWCSR4 | Q34g | Health affected: Muscular pain (upper body) | q33a_g</t>
  </si>
  <si>
    <t>EWCSR4 | Q34h | Health affected: Muscular pain (lower body) | q33a_h</t>
  </si>
  <si>
    <t>EWCSR4 | Q34i | Health affected: Respiratory difficulties | q33a_i</t>
  </si>
  <si>
    <t>EWCSR4 | Q34j | Health affected: Heart disease | q33a_j</t>
  </si>
  <si>
    <t>EWCSR4 | Q34k | Health affected: Injury/accident | q33a_k</t>
  </si>
  <si>
    <t>EWCSR4 | Q34l | Health affected: Stress | q33a_l</t>
  </si>
  <si>
    <t>EWCSR4 | Q34m | Health affected: Overall fatigue | q33a_m</t>
  </si>
  <si>
    <t>EWCSR4 | Q34n | Health affected: Sleeping problems | q33a_n</t>
  </si>
  <si>
    <t>EWCSR4 | Q34o | Health affected: Allergies | q33a_o</t>
  </si>
  <si>
    <t>EWCSR4 | Q34p | Health affected: Anxiety | q33a_p</t>
  </si>
  <si>
    <t>EWCSR4 | Q34q | Health affected: Irritability | q33a_q</t>
  </si>
  <si>
    <t>EWCSR4 | Q34r | Health affected: Other | q33a_r</t>
  </si>
  <si>
    <t>EWCSR4 | Q35a | Absence: accident at work | q34a</t>
  </si>
  <si>
    <t>EWCSR4 | Q35b | Absence: work-related health problems | q34b</t>
  </si>
  <si>
    <t>EWCSR4 | Q35c | Absence: other health problems | q34c</t>
  </si>
  <si>
    <t>EWCSR4 | Q36  | Worked while sick | q34d</t>
  </si>
  <si>
    <t>EWCSR4 | Q37  | Satisfaction with working conditions | q35</t>
  </si>
  <si>
    <t>EWCSR4 | Q38  | Able to do same job at 60 | q36</t>
  </si>
  <si>
    <t xml:space="preserve">EWCSR4 | EF1  | Marital status | </t>
  </si>
  <si>
    <t>EWCSR4 | EF2  | Sex of respondent | hh2a</t>
  </si>
  <si>
    <t>EWCSR4 | EF3  | Number of people in household | hh1</t>
  </si>
  <si>
    <t xml:space="preserve">EWCSR4 | EF4  | Children under 15 in household | </t>
  </si>
  <si>
    <t>EWCSR4 | EF5  | Responsible for home / main income | ef5</t>
  </si>
  <si>
    <t xml:space="preserve">EWCSR4 | EF6  | Activities outside work | </t>
  </si>
  <si>
    <t>EWCSR4 | EF7  | Net monthly income | ef7</t>
  </si>
  <si>
    <t>EWCSR4 | EF8  | Is your immediate boss a man or a woman? | q31</t>
  </si>
  <si>
    <t>EWCSR4 | EF9  | Remuneration components (employee) | ef8</t>
  </si>
  <si>
    <t>EWCSR4 | EF10 | Remuneration components (self-employed) | ef9</t>
  </si>
  <si>
    <t xml:space="preserve">EWCSR4 </t>
  </si>
  <si>
    <t xml:space="preserve"> Q1   </t>
  </si>
  <si>
    <t xml:space="preserve"> What is your nationality? </t>
  </si>
  <si>
    <t xml:space="preserve"> </t>
  </si>
  <si>
    <t xml:space="preserve"> What is your main paid job? Please give me your job title. </t>
  </si>
  <si>
    <t xml:space="preserve"> emp_title</t>
  </si>
  <si>
    <t xml:space="preserve"> Q2b  </t>
  </si>
  <si>
    <t xml:space="preserve"> How old were you when you stopped your full-time education? </t>
  </si>
  <si>
    <t xml:space="preserve"> edu_end_age</t>
  </si>
  <si>
    <t xml:space="preserve"> Q2c  </t>
  </si>
  <si>
    <t xml:space="preserve"> Are you mainly: Self-employed (with/without employees)</t>
  </si>
  <si>
    <t xml:space="preserve"> Q3a  </t>
  </si>
  <si>
    <t xml:space="preserve"> (If Employed) Is it: permanent / fixed term / agency / apprenticeship / other? </t>
  </si>
  <si>
    <t xml:space="preserve"> contract_type</t>
  </si>
  <si>
    <t xml:space="preserve"> Q3b  </t>
  </si>
  <si>
    <t xml:space="preserve"> (If fixed term) Exact duration of the contract (years</t>
  </si>
  <si>
    <t xml:space="preserve"> Q4   </t>
  </si>
  <si>
    <t xml:space="preserve"> What is the main activity of the company or organisation where you work? </t>
  </si>
  <si>
    <t xml:space="preserve"> nace_main</t>
  </si>
  <si>
    <t xml:space="preserve"> Q5   </t>
  </si>
  <si>
    <t xml:space="preserve"> Sector of employment (public/private/joint/non-profit/other) </t>
  </si>
  <si>
    <t xml:space="preserve"> sector_type</t>
  </si>
  <si>
    <t xml:space="preserve"> Q6   </t>
  </si>
  <si>
    <t xml:space="preserve"> How many people work in your local unit? </t>
  </si>
  <si>
    <t xml:space="preserve"> est_size</t>
  </si>
  <si>
    <t xml:space="preserve"> Q7   </t>
  </si>
  <si>
    <t xml:space="preserve"> How many people work under your supervision? </t>
  </si>
  <si>
    <t xml:space="preserve"> supervisor_count</t>
  </si>
  <si>
    <t xml:space="preserve"> Q8a  </t>
  </si>
  <si>
    <t xml:space="preserve"> How many years in your organisation? </t>
  </si>
  <si>
    <t xml:space="preserve"> tenure_org</t>
  </si>
  <si>
    <t xml:space="preserve"> Q8b  </t>
  </si>
  <si>
    <t xml:space="preserve"> How many years in your present main job? </t>
  </si>
  <si>
    <t xml:space="preserve"> tenure_job</t>
  </si>
  <si>
    <t xml:space="preserve"> Q9a  </t>
  </si>
  <si>
    <t xml:space="preserve"> Besides your main job</t>
  </si>
  <si>
    <t xml:space="preserve"> Q9b  </t>
  </si>
  <si>
    <t xml:space="preserve"> (If yes) Regular</t>
  </si>
  <si>
    <t xml:space="preserve"> Q9c  </t>
  </si>
  <si>
    <t xml:space="preserve"> (If regular) How many hours per week? </t>
  </si>
  <si>
    <t xml:space="preserve"> other_job_hours</t>
  </si>
  <si>
    <t xml:space="preserve"> Q10a </t>
  </si>
  <si>
    <t xml:space="preserve"> Exposure to vibration </t>
  </si>
  <si>
    <t xml:space="preserve"> q10a</t>
  </si>
  <si>
    <t xml:space="preserve"> Q10b </t>
  </si>
  <si>
    <t xml:space="preserve"> Exposure to loud noise </t>
  </si>
  <si>
    <t xml:space="preserve"> q10b</t>
  </si>
  <si>
    <t xml:space="preserve"> Q10c </t>
  </si>
  <si>
    <t xml:space="preserve"> Exposure to high temperatures </t>
  </si>
  <si>
    <t xml:space="preserve"> q10c</t>
  </si>
  <si>
    <t xml:space="preserve"> Q10d </t>
  </si>
  <si>
    <t xml:space="preserve"> Exposure to low temperatures </t>
  </si>
  <si>
    <t xml:space="preserve"> q10d</t>
  </si>
  <si>
    <t xml:space="preserve"> Q10e </t>
  </si>
  <si>
    <t xml:space="preserve"> Exposure to smoke</t>
  </si>
  <si>
    <t xml:space="preserve"> Q10f </t>
  </si>
  <si>
    <t xml:space="preserve"> Exposure to vapours (solvents</t>
  </si>
  <si>
    <t xml:space="preserve"> Q10g </t>
  </si>
  <si>
    <t xml:space="preserve"> Contact with chemical products or substances </t>
  </si>
  <si>
    <t xml:space="preserve"> q10g</t>
  </si>
  <si>
    <t xml:space="preserve"> Q10h </t>
  </si>
  <si>
    <t xml:space="preserve"> Q10i </t>
  </si>
  <si>
    <t xml:space="preserve"> Exposure to tobacco smoke at work </t>
  </si>
  <si>
    <t xml:space="preserve"> q10i</t>
  </si>
  <si>
    <t xml:space="preserve"> Q10j </t>
  </si>
  <si>
    <t xml:space="preserve"> Contact with infectious materials </t>
  </si>
  <si>
    <t xml:space="preserve"> q10j</t>
  </si>
  <si>
    <t xml:space="preserve"> Q11a </t>
  </si>
  <si>
    <t xml:space="preserve"> Tiring or painful positions </t>
  </si>
  <si>
    <t xml:space="preserve"> q11a</t>
  </si>
  <si>
    <t xml:space="preserve"> Q11b </t>
  </si>
  <si>
    <t xml:space="preserve"> Lifting or moving people </t>
  </si>
  <si>
    <t xml:space="preserve"> q11b</t>
  </si>
  <si>
    <t xml:space="preserve"> Q11c </t>
  </si>
  <si>
    <t xml:space="preserve"> Carrying or moving heavy loads </t>
  </si>
  <si>
    <t xml:space="preserve"> q11c</t>
  </si>
  <si>
    <t xml:space="preserve"> Q11d </t>
  </si>
  <si>
    <t xml:space="preserve"> Standing </t>
  </si>
  <si>
    <t xml:space="preserve"> q11d</t>
  </si>
  <si>
    <t xml:space="preserve"> Q11e </t>
  </si>
  <si>
    <t xml:space="preserve"> Repetitive hand or arm movements </t>
  </si>
  <si>
    <t xml:space="preserve"> q11e</t>
  </si>
  <si>
    <t xml:space="preserve"> Q11f </t>
  </si>
  <si>
    <t xml:space="preserve"> Working with computers </t>
  </si>
  <si>
    <t xml:space="preserve"> q11f</t>
  </si>
  <si>
    <t xml:space="preserve"> Q11g </t>
  </si>
  <si>
    <t xml:space="preserve"> Using internet/email for work </t>
  </si>
  <si>
    <t xml:space="preserve"> q11g</t>
  </si>
  <si>
    <t xml:space="preserve"> Q11h </t>
  </si>
  <si>
    <t xml:space="preserve"> Teleworking from home </t>
  </si>
  <si>
    <t xml:space="preserve"> q11h</t>
  </si>
  <si>
    <t xml:space="preserve"> Q11i </t>
  </si>
  <si>
    <t xml:space="preserve"> Working at home (excluding telework) </t>
  </si>
  <si>
    <t xml:space="preserve"> q11i</t>
  </si>
  <si>
    <t xml:space="preserve"> Q11j </t>
  </si>
  <si>
    <t xml:space="preserve"> Dealing directly with customers/passengers/patients </t>
  </si>
  <si>
    <t xml:space="preserve"> q11j</t>
  </si>
  <si>
    <t xml:space="preserve"> Q11k </t>
  </si>
  <si>
    <t xml:space="preserve"> Wearing personal protective equipment </t>
  </si>
  <si>
    <t xml:space="preserve"> q11k</t>
  </si>
  <si>
    <t xml:space="preserve"> Q12  </t>
  </si>
  <si>
    <t xml:space="preserve"> How well informed about health and safety risks </t>
  </si>
  <si>
    <t xml:space="preserve"> q12</t>
  </si>
  <si>
    <t xml:space="preserve"> Q13  </t>
  </si>
  <si>
    <t xml:space="preserve"> Hours worked per week </t>
  </si>
  <si>
    <t xml:space="preserve"> hours_week</t>
  </si>
  <si>
    <t xml:space="preserve"> Q14  </t>
  </si>
  <si>
    <t xml:space="preserve"> Days worked per week </t>
  </si>
  <si>
    <t xml:space="preserve"> days_week</t>
  </si>
  <si>
    <t xml:space="preserve"> Q15  </t>
  </si>
  <si>
    <t xml:space="preserve"> Minutes spent commuting per day </t>
  </si>
  <si>
    <t xml:space="preserve"> commute_minutes</t>
  </si>
  <si>
    <t xml:space="preserve"> Q16a </t>
  </si>
  <si>
    <t xml:space="preserve"> Night work frequency </t>
  </si>
  <si>
    <t xml:space="preserve"> night_freq</t>
  </si>
  <si>
    <t xml:space="preserve"> Q16b </t>
  </si>
  <si>
    <t xml:space="preserve"> Evening work frequency </t>
  </si>
  <si>
    <t xml:space="preserve"> evening_freq</t>
  </si>
  <si>
    <t xml:space="preserve"> Q16c </t>
  </si>
  <si>
    <t xml:space="preserve"> Sunday work frequency </t>
  </si>
  <si>
    <t xml:space="preserve"> sunday_freq</t>
  </si>
  <si>
    <t xml:space="preserve"> Q16d </t>
  </si>
  <si>
    <t xml:space="preserve"> Saturday work frequency </t>
  </si>
  <si>
    <t xml:space="preserve"> saturday_freq</t>
  </si>
  <si>
    <t xml:space="preserve"> Q16e </t>
  </si>
  <si>
    <t xml:space="preserve"> Work more than 10 hours/day </t>
  </si>
  <si>
    <t xml:space="preserve"> longday_freq</t>
  </si>
  <si>
    <t xml:space="preserve"> Q17a </t>
  </si>
  <si>
    <t xml:space="preserve"> Do you work part-time? </t>
  </si>
  <si>
    <t xml:space="preserve"> parttime</t>
  </si>
  <si>
    <t xml:space="preserve"> Q17b </t>
  </si>
  <si>
    <t xml:space="preserve"> Would you like more/less/same hours? </t>
  </si>
  <si>
    <t xml:space="preserve"> hours_preference</t>
  </si>
  <si>
    <t xml:space="preserve"> Q18a </t>
  </si>
  <si>
    <t xml:space="preserve"> Same number of hours every day </t>
  </si>
  <si>
    <t xml:space="preserve"> q16a_a</t>
  </si>
  <si>
    <t xml:space="preserve"> Q18b </t>
  </si>
  <si>
    <t xml:space="preserve"> Same number of days every week </t>
  </si>
  <si>
    <t xml:space="preserve"> q16a_b</t>
  </si>
  <si>
    <t xml:space="preserve"> Q18c </t>
  </si>
  <si>
    <t xml:space="preserve"> Same number of hours every week </t>
  </si>
  <si>
    <t xml:space="preserve"> q16a_c</t>
  </si>
  <si>
    <t xml:space="preserve"> Q18d </t>
  </si>
  <si>
    <t xml:space="preserve"> Fixed starting and finishing times </t>
  </si>
  <si>
    <t xml:space="preserve"> q16a_d</t>
  </si>
  <si>
    <t xml:space="preserve"> Q18e </t>
  </si>
  <si>
    <t xml:space="preserve"> Do you work shifts? </t>
  </si>
  <si>
    <t xml:space="preserve"> q16a_e</t>
  </si>
  <si>
    <t xml:space="preserve"> Q19  </t>
  </si>
  <si>
    <t xml:space="preserve"> Type of shift pattern </t>
  </si>
  <si>
    <t xml:space="preserve"> shift_type</t>
  </si>
  <si>
    <t xml:space="preserve"> Q20a </t>
  </si>
  <si>
    <t xml:space="preserve"> How often you interrupt tasks </t>
  </si>
  <si>
    <t xml:space="preserve"> q19a</t>
  </si>
  <si>
    <t xml:space="preserve"> Q20b </t>
  </si>
  <si>
    <t xml:space="preserve"> Are interruptions disruptive/neutral/positive </t>
  </si>
  <si>
    <t xml:space="preserve"> q19b</t>
  </si>
  <si>
    <t xml:space="preserve"> Q21a </t>
  </si>
  <si>
    <t xml:space="preserve"> Short repetitive tasks (&lt;1 min) </t>
  </si>
  <si>
    <t xml:space="preserve"> q20a_a</t>
  </si>
  <si>
    <t xml:space="preserve"> Q21b </t>
  </si>
  <si>
    <t xml:space="preserve"> Repetition of same movements </t>
  </si>
  <si>
    <t xml:space="preserve"> q20a_b</t>
  </si>
  <si>
    <t xml:space="preserve"> Q22a </t>
  </si>
  <si>
    <t xml:space="preserve"> Working at very high speed </t>
  </si>
  <si>
    <t xml:space="preserve"> q20b_a</t>
  </si>
  <si>
    <t xml:space="preserve"> Q22b </t>
  </si>
  <si>
    <t xml:space="preserve"> Working to tight deadlines </t>
  </si>
  <si>
    <t xml:space="preserve"> q20b_b</t>
  </si>
  <si>
    <t xml:space="preserve"> Q23a </t>
  </si>
  <si>
    <t xml:space="preserve"> Pace dependent on colleagues </t>
  </si>
  <si>
    <t xml:space="preserve"> q21a</t>
  </si>
  <si>
    <t xml:space="preserve"> Q23b </t>
  </si>
  <si>
    <t xml:space="preserve"> Pace dependent on direct demands from people </t>
  </si>
  <si>
    <t xml:space="preserve"> q21b</t>
  </si>
  <si>
    <t xml:space="preserve"> Q23c </t>
  </si>
  <si>
    <t xml:space="preserve"> Pace dependent on numerical/performance targets </t>
  </si>
  <si>
    <t xml:space="preserve"> q21c</t>
  </si>
  <si>
    <t xml:space="preserve"> Q23d </t>
  </si>
  <si>
    <t xml:space="preserve"> Pace dependent on automatic speed of a machine/product </t>
  </si>
  <si>
    <t xml:space="preserve"> q21d ✅</t>
  </si>
  <si>
    <t xml:space="preserve"> Q23e </t>
  </si>
  <si>
    <t xml:space="preserve"> Pace dependent on direct control of your boss </t>
  </si>
  <si>
    <t xml:space="preserve"> q21e</t>
  </si>
  <si>
    <t xml:space="preserve"> Q24a </t>
  </si>
  <si>
    <t xml:space="preserve"> Meeting precise quality standards </t>
  </si>
  <si>
    <t xml:space="preserve"> q22a</t>
  </si>
  <si>
    <t xml:space="preserve"> Q24b </t>
  </si>
  <si>
    <t xml:space="preserve"> Assessing quality of own work </t>
  </si>
  <si>
    <t xml:space="preserve"> q22b</t>
  </si>
  <si>
    <t xml:space="preserve"> Q24c </t>
  </si>
  <si>
    <t xml:space="preserve"> Solving unforeseen problems </t>
  </si>
  <si>
    <t xml:space="preserve"> q22c</t>
  </si>
  <si>
    <t xml:space="preserve"> Q24d </t>
  </si>
  <si>
    <t xml:space="preserve"> Monotonous tasks </t>
  </si>
  <si>
    <t xml:space="preserve"> q22d</t>
  </si>
  <si>
    <t xml:space="preserve"> Q24e </t>
  </si>
  <si>
    <t xml:space="preserve"> Complex tasks </t>
  </si>
  <si>
    <t xml:space="preserve"> q22e</t>
  </si>
  <si>
    <t xml:space="preserve"> Q24f </t>
  </si>
  <si>
    <t xml:space="preserve"> Learning new things </t>
  </si>
  <si>
    <t xml:space="preserve"> q22f</t>
  </si>
  <si>
    <t xml:space="preserve"> Q25a </t>
  </si>
  <si>
    <t xml:space="preserve"> Able to choose order of tasks </t>
  </si>
  <si>
    <t xml:space="preserve"> q23a</t>
  </si>
  <si>
    <t xml:space="preserve"> Q25b </t>
  </si>
  <si>
    <t xml:space="preserve"> Able to choose methods of work </t>
  </si>
  <si>
    <t xml:space="preserve"> q23b</t>
  </si>
  <si>
    <t xml:space="preserve"> Q25c </t>
  </si>
  <si>
    <t xml:space="preserve"> Able to choose speed/rate of work </t>
  </si>
  <si>
    <t xml:space="preserve"> q23c</t>
  </si>
  <si>
    <t xml:space="preserve"> Q26a </t>
  </si>
  <si>
    <t xml:space="preserve"> Can get assistance from colleagues </t>
  </si>
  <si>
    <t xml:space="preserve"> q24a</t>
  </si>
  <si>
    <t xml:space="preserve"> Q26b </t>
  </si>
  <si>
    <t xml:space="preserve"> Can take break when you want </t>
  </si>
  <si>
    <t xml:space="preserve"> q24b</t>
  </si>
  <si>
    <t xml:space="preserve"> Q26c </t>
  </si>
  <si>
    <t xml:space="preserve"> Can decide holidays/days off </t>
  </si>
  <si>
    <t xml:space="preserve"> q24c</t>
  </si>
  <si>
    <t xml:space="preserve"> Q26d </t>
  </si>
  <si>
    <t xml:space="preserve"> Can influence your working hours </t>
  </si>
  <si>
    <t xml:space="preserve"> q24d</t>
  </si>
  <si>
    <t xml:space="preserve"> Q26e </t>
  </si>
  <si>
    <t xml:space="preserve"> Have enough time to get job done </t>
  </si>
  <si>
    <t xml:space="preserve"> q24e</t>
  </si>
  <si>
    <t xml:space="preserve"> Q26f </t>
  </si>
  <si>
    <t xml:space="preserve"> Know what is expected of you </t>
  </si>
  <si>
    <t xml:space="preserve"> q24f</t>
  </si>
  <si>
    <t xml:space="preserve"> Q26g </t>
  </si>
  <si>
    <t xml:space="preserve"> Job requires hiding feelings </t>
  </si>
  <si>
    <t xml:space="preserve"> q24g</t>
  </si>
  <si>
    <t xml:space="preserve"> Q26h </t>
  </si>
  <si>
    <t xml:space="preserve"> Access to telephone for private calls </t>
  </si>
  <si>
    <t xml:space="preserve"> q24h</t>
  </si>
  <si>
    <t xml:space="preserve"> Q27  </t>
  </si>
  <si>
    <t xml:space="preserve"> Skills match job demands </t>
  </si>
  <si>
    <t xml:space="preserve"> q25</t>
  </si>
  <si>
    <t xml:space="preserve"> Q28a </t>
  </si>
  <si>
    <t xml:space="preserve"> Employer-paid training </t>
  </si>
  <si>
    <t xml:space="preserve"> q26a</t>
  </si>
  <si>
    <t xml:space="preserve"> Q28b </t>
  </si>
  <si>
    <t xml:space="preserve"> Number of training days </t>
  </si>
  <si>
    <t xml:space="preserve"> q26b</t>
  </si>
  <si>
    <t xml:space="preserve"> Q29a </t>
  </si>
  <si>
    <t xml:space="preserve"> Training paid by yourself </t>
  </si>
  <si>
    <t xml:space="preserve"> q26c</t>
  </si>
  <si>
    <t xml:space="preserve"> Q29b </t>
  </si>
  <si>
    <t xml:space="preserve"> Learning by doing on the job </t>
  </si>
  <si>
    <t xml:space="preserve"> q26d</t>
  </si>
  <si>
    <t xml:space="preserve"> Q30a </t>
  </si>
  <si>
    <t xml:space="preserve"> Able to discuss working conditions </t>
  </si>
  <si>
    <t xml:space="preserve"> q27a</t>
  </si>
  <si>
    <t xml:space="preserve"> Q30b </t>
  </si>
  <si>
    <t xml:space="preserve"> Able to discuss organisation of work </t>
  </si>
  <si>
    <t xml:space="preserve"> q27b</t>
  </si>
  <si>
    <t xml:space="preserve"> Q31  </t>
  </si>
  <si>
    <t xml:space="preserve"> Working hours fit family/social life </t>
  </si>
  <si>
    <t xml:space="preserve"> q28</t>
  </si>
  <si>
    <t xml:space="preserve"> Q32a </t>
  </si>
  <si>
    <t xml:space="preserve"> Physical violence from people at work </t>
  </si>
  <si>
    <t xml:space="preserve"> q29a</t>
  </si>
  <si>
    <t xml:space="preserve"> Q32b </t>
  </si>
  <si>
    <t xml:space="preserve"> Physical violence from other people </t>
  </si>
  <si>
    <t xml:space="preserve"> q29b</t>
  </si>
  <si>
    <t xml:space="preserve"> Q32c </t>
  </si>
  <si>
    <t xml:space="preserve"> Threats of physical violence </t>
  </si>
  <si>
    <t xml:space="preserve"> q29c</t>
  </si>
  <si>
    <t xml:space="preserve"> Q32d </t>
  </si>
  <si>
    <t xml:space="preserve"> Intimidation/bullying/mobbing </t>
  </si>
  <si>
    <t xml:space="preserve"> q29d</t>
  </si>
  <si>
    <t xml:space="preserve"> Q32e </t>
  </si>
  <si>
    <t xml:space="preserve"> Sexual discrimination </t>
  </si>
  <si>
    <t xml:space="preserve"> q29e</t>
  </si>
  <si>
    <t xml:space="preserve"> Q32f </t>
  </si>
  <si>
    <t xml:space="preserve"> Unwanted sexual attention </t>
  </si>
  <si>
    <t xml:space="preserve"> q29f</t>
  </si>
  <si>
    <t xml:space="preserve"> Q32g </t>
  </si>
  <si>
    <t xml:space="preserve"> Age discrimination </t>
  </si>
  <si>
    <t xml:space="preserve"> q29g</t>
  </si>
  <si>
    <t xml:space="preserve"> Q32h </t>
  </si>
  <si>
    <t xml:space="preserve"> Nationality discrimination </t>
  </si>
  <si>
    <t xml:space="preserve"> q29h</t>
  </si>
  <si>
    <t xml:space="preserve"> Q32i </t>
  </si>
  <si>
    <t xml:space="preserve"> Ethnic discrimination </t>
  </si>
  <si>
    <t xml:space="preserve"> q29i</t>
  </si>
  <si>
    <t xml:space="preserve"> Q32j </t>
  </si>
  <si>
    <t xml:space="preserve"> Religious discrimination </t>
  </si>
  <si>
    <t xml:space="preserve"> q29j</t>
  </si>
  <si>
    <t xml:space="preserve"> Q32k </t>
  </si>
  <si>
    <t xml:space="preserve"> Disability discrimination </t>
  </si>
  <si>
    <t xml:space="preserve"> q29k</t>
  </si>
  <si>
    <t xml:space="preserve"> Q32l </t>
  </si>
  <si>
    <t xml:space="preserve"> Sexual orientation discrimination </t>
  </si>
  <si>
    <t xml:space="preserve"> q29l ✅</t>
  </si>
  <si>
    <t xml:space="preserve"> Q33  </t>
  </si>
  <si>
    <t xml:space="preserve"> Health or safety at risk because of your work </t>
  </si>
  <si>
    <t xml:space="preserve"> q32</t>
  </si>
  <si>
    <t xml:space="preserve"> Q34a </t>
  </si>
  <si>
    <t xml:space="preserve"> Health affected: Hearing problems </t>
  </si>
  <si>
    <t xml:space="preserve"> q33a_a</t>
  </si>
  <si>
    <t xml:space="preserve"> Q34b </t>
  </si>
  <si>
    <t xml:space="preserve"> Health affected: Vision problems </t>
  </si>
  <si>
    <t xml:space="preserve"> q33a_b</t>
  </si>
  <si>
    <t xml:space="preserve"> Q34c </t>
  </si>
  <si>
    <t xml:space="preserve"> Health affected: Skin problems </t>
  </si>
  <si>
    <t xml:space="preserve"> q33a_c</t>
  </si>
  <si>
    <t xml:space="preserve"> Q34d </t>
  </si>
  <si>
    <t xml:space="preserve"> Health affected: Backache </t>
  </si>
  <si>
    <t xml:space="preserve"> q33a_d</t>
  </si>
  <si>
    <t xml:space="preserve"> Q34e </t>
  </si>
  <si>
    <t xml:space="preserve"> Health affected: Headaches </t>
  </si>
  <si>
    <t xml:space="preserve"> q33a_e ✅</t>
  </si>
  <si>
    <t xml:space="preserve"> Q34f </t>
  </si>
  <si>
    <t xml:space="preserve"> Health affected: Stomach ache </t>
  </si>
  <si>
    <t xml:space="preserve"> q33a_f</t>
  </si>
  <si>
    <t xml:space="preserve"> Q34g </t>
  </si>
  <si>
    <t xml:space="preserve"> Health affected: Muscular pain (upper body) </t>
  </si>
  <si>
    <t xml:space="preserve"> q33a_g</t>
  </si>
  <si>
    <t xml:space="preserve"> Q34h </t>
  </si>
  <si>
    <t xml:space="preserve"> Health affected: Muscular pain (lower body) </t>
  </si>
  <si>
    <t xml:space="preserve"> q33a_h</t>
  </si>
  <si>
    <t xml:space="preserve"> Q34i </t>
  </si>
  <si>
    <t xml:space="preserve"> Health affected: Respiratory difficulties </t>
  </si>
  <si>
    <t xml:space="preserve"> q33a_i</t>
  </si>
  <si>
    <t xml:space="preserve"> Q34j </t>
  </si>
  <si>
    <t xml:space="preserve"> Health affected: Heart disease </t>
  </si>
  <si>
    <t xml:space="preserve"> q33a_j</t>
  </si>
  <si>
    <t xml:space="preserve"> Q34k </t>
  </si>
  <si>
    <t xml:space="preserve"> Health affected: Injury/accident </t>
  </si>
  <si>
    <t xml:space="preserve"> q33a_k</t>
  </si>
  <si>
    <t xml:space="preserve"> Q34l </t>
  </si>
  <si>
    <t xml:space="preserve"> Health affected: Stress </t>
  </si>
  <si>
    <t xml:space="preserve"> q33a_l</t>
  </si>
  <si>
    <t xml:space="preserve"> Q34m </t>
  </si>
  <si>
    <t xml:space="preserve"> Health affected: Overall fatigue </t>
  </si>
  <si>
    <t xml:space="preserve"> q33a_m</t>
  </si>
  <si>
    <t xml:space="preserve"> Q34n </t>
  </si>
  <si>
    <t xml:space="preserve"> Health affected: Sleeping problems </t>
  </si>
  <si>
    <t xml:space="preserve"> q33a_n</t>
  </si>
  <si>
    <t xml:space="preserve"> Q34o </t>
  </si>
  <si>
    <t xml:space="preserve"> Health affected: Allergies </t>
  </si>
  <si>
    <t xml:space="preserve"> q33a_o</t>
  </si>
  <si>
    <t xml:space="preserve"> Q34p </t>
  </si>
  <si>
    <t xml:space="preserve"> Health affected: Anxiety </t>
  </si>
  <si>
    <t xml:space="preserve"> q33a_p</t>
  </si>
  <si>
    <t xml:space="preserve"> Q34q </t>
  </si>
  <si>
    <t xml:space="preserve"> Health affected: Irritability </t>
  </si>
  <si>
    <t xml:space="preserve"> q33a_q</t>
  </si>
  <si>
    <t xml:space="preserve"> Q34r </t>
  </si>
  <si>
    <t xml:space="preserve"> Health affected: Other </t>
  </si>
  <si>
    <t xml:space="preserve"> q33a_r</t>
  </si>
  <si>
    <t xml:space="preserve"> Q35a </t>
  </si>
  <si>
    <t xml:space="preserve"> Absence: accident at work </t>
  </si>
  <si>
    <t xml:space="preserve"> q34a</t>
  </si>
  <si>
    <t xml:space="preserve"> Q35b </t>
  </si>
  <si>
    <t xml:space="preserve"> Absence: work-related health problems </t>
  </si>
  <si>
    <t xml:space="preserve"> q34b</t>
  </si>
  <si>
    <t xml:space="preserve"> Q35c </t>
  </si>
  <si>
    <t xml:space="preserve"> Absence: other health problems </t>
  </si>
  <si>
    <t xml:space="preserve"> q34c</t>
  </si>
  <si>
    <t xml:space="preserve"> Q36  </t>
  </si>
  <si>
    <t xml:space="preserve"> Worked while sick </t>
  </si>
  <si>
    <t xml:space="preserve"> q34d</t>
  </si>
  <si>
    <t xml:space="preserve"> Q37  </t>
  </si>
  <si>
    <t xml:space="preserve"> Satisfaction with working conditions </t>
  </si>
  <si>
    <t xml:space="preserve"> q35</t>
  </si>
  <si>
    <t xml:space="preserve"> Q38  </t>
  </si>
  <si>
    <t xml:space="preserve"> Able to do same job at 60 </t>
  </si>
  <si>
    <t xml:space="preserve"> q36</t>
  </si>
  <si>
    <t xml:space="preserve"> EF1  </t>
  </si>
  <si>
    <t xml:space="preserve"> Marital status </t>
  </si>
  <si>
    <t xml:space="preserve"> EF2  </t>
  </si>
  <si>
    <t xml:space="preserve"> Sex of respondent </t>
  </si>
  <si>
    <t xml:space="preserve"> hh2a</t>
  </si>
  <si>
    <t xml:space="preserve"> EF3  </t>
  </si>
  <si>
    <t xml:space="preserve"> Number of people in household </t>
  </si>
  <si>
    <t xml:space="preserve"> hh1</t>
  </si>
  <si>
    <t xml:space="preserve"> EF4  </t>
  </si>
  <si>
    <t xml:space="preserve"> Children under 15 in household </t>
  </si>
  <si>
    <t xml:space="preserve"> EF5  </t>
  </si>
  <si>
    <t xml:space="preserve"> Responsible for home / main income </t>
  </si>
  <si>
    <t xml:space="preserve"> ef5</t>
  </si>
  <si>
    <t xml:space="preserve"> EF6  </t>
  </si>
  <si>
    <t xml:space="preserve"> Activities outside work </t>
  </si>
  <si>
    <t xml:space="preserve"> EF7  </t>
  </si>
  <si>
    <t xml:space="preserve"> Net monthly income </t>
  </si>
  <si>
    <t xml:space="preserve"> ef7</t>
  </si>
  <si>
    <t xml:space="preserve"> EF8  </t>
  </si>
  <si>
    <t xml:space="preserve"> Is your immediate boss a man or a woman? </t>
  </si>
  <si>
    <t xml:space="preserve"> q31</t>
  </si>
  <si>
    <t xml:space="preserve"> EF9  </t>
  </si>
  <si>
    <t xml:space="preserve"> Remuneration components (employee) </t>
  </si>
  <si>
    <t xml:space="preserve"> ef8</t>
  </si>
  <si>
    <t xml:space="preserve"> EF10 </t>
  </si>
  <si>
    <t xml:space="preserve"> Remuneration components (self-employed) </t>
  </si>
  <si>
    <t xml:space="preserve"> ef9</t>
  </si>
  <si>
    <t xml:space="preserve"> or Other? </t>
  </si>
  <si>
    <t xml:space="preserve"> emp_status</t>
  </si>
  <si>
    <t xml:space="preserve"> months) </t>
  </si>
  <si>
    <t xml:space="preserve"> contract_duration</t>
  </si>
  <si>
    <t xml:space="preserve"> do you have any other paid job? </t>
  </si>
  <si>
    <t xml:space="preserve"> other_job</t>
  </si>
  <si>
    <t xml:space="preserve"> occasional or seasonal? </t>
  </si>
  <si>
    <t xml:space="preserve"> other_job_type</t>
  </si>
  <si>
    <t xml:space="preserve"> fumes or dust </t>
  </si>
  <si>
    <t xml:space="preserve"> q10e</t>
  </si>
  <si>
    <t xml:space="preserve"> thinners) </t>
  </si>
  <si>
    <t xml:space="preserve"> q10f</t>
  </si>
  <si>
    <t xml:space="preserve"> q10h</t>
  </si>
  <si>
    <t>Q1</t>
  </si>
  <si>
    <t>Q2a</t>
  </si>
  <si>
    <t>Q2b</t>
  </si>
  <si>
    <t>Q2c</t>
  </si>
  <si>
    <t>Q3a</t>
  </si>
  <si>
    <t>Q3b</t>
  </si>
  <si>
    <t>Q4</t>
  </si>
  <si>
    <t>Q5</t>
  </si>
  <si>
    <t>Q6</t>
  </si>
  <si>
    <t>Q7</t>
  </si>
  <si>
    <t>Q8a</t>
  </si>
  <si>
    <t>Q8b</t>
  </si>
  <si>
    <t>Q9a</t>
  </si>
  <si>
    <t>Q9b</t>
  </si>
  <si>
    <t>Q9c</t>
  </si>
  <si>
    <t>Q10a</t>
  </si>
  <si>
    <t>Q10b</t>
  </si>
  <si>
    <t>Q10c</t>
  </si>
  <si>
    <t>Q10d</t>
  </si>
  <si>
    <t>Q10e</t>
  </si>
  <si>
    <t>Q10f</t>
  </si>
  <si>
    <t>Q10g</t>
  </si>
  <si>
    <t>Q10h</t>
  </si>
  <si>
    <t>Q10i</t>
  </si>
  <si>
    <t>Q10j</t>
  </si>
  <si>
    <t>Q11a</t>
  </si>
  <si>
    <t>Q11b</t>
  </si>
  <si>
    <t>Q11c</t>
  </si>
  <si>
    <t>Q11d</t>
  </si>
  <si>
    <t>Q11e</t>
  </si>
  <si>
    <t>Q11f</t>
  </si>
  <si>
    <t>Q11g</t>
  </si>
  <si>
    <t>Q11h</t>
  </si>
  <si>
    <t>Q11i</t>
  </si>
  <si>
    <t>Q11j</t>
  </si>
  <si>
    <t>Q11k</t>
  </si>
  <si>
    <t>Q12</t>
  </si>
  <si>
    <t>Q13</t>
  </si>
  <si>
    <t>Q14</t>
  </si>
  <si>
    <t>Q15</t>
  </si>
  <si>
    <t>Q16a</t>
  </si>
  <si>
    <t>Q16b</t>
  </si>
  <si>
    <t>Q16c</t>
  </si>
  <si>
    <t>Q16d</t>
  </si>
  <si>
    <t>Q16e</t>
  </si>
  <si>
    <t>Q17a</t>
  </si>
  <si>
    <t>Q17b</t>
  </si>
  <si>
    <t>Q18a</t>
  </si>
  <si>
    <t>Q18b</t>
  </si>
  <si>
    <t>Q18c</t>
  </si>
  <si>
    <t>Q18d</t>
  </si>
  <si>
    <t>Q18e</t>
  </si>
  <si>
    <t>Q19</t>
  </si>
  <si>
    <t>Q20a</t>
  </si>
  <si>
    <t>Q20b</t>
  </si>
  <si>
    <t>Q21a</t>
  </si>
  <si>
    <t>Q21b</t>
  </si>
  <si>
    <t>Q22a</t>
  </si>
  <si>
    <t>Q22b</t>
  </si>
  <si>
    <t>Q23a</t>
  </si>
  <si>
    <t>Q23b</t>
  </si>
  <si>
    <t>Q23c</t>
  </si>
  <si>
    <t>Q23d</t>
  </si>
  <si>
    <t>Q23e</t>
  </si>
  <si>
    <t>Q24a</t>
  </si>
  <si>
    <t>Q24b</t>
  </si>
  <si>
    <t>Q24c</t>
  </si>
  <si>
    <t>Q24d</t>
  </si>
  <si>
    <t>Q24e</t>
  </si>
  <si>
    <t>Q24f</t>
  </si>
  <si>
    <t>Q25a</t>
  </si>
  <si>
    <t>Q25b</t>
  </si>
  <si>
    <t>Q25c</t>
  </si>
  <si>
    <t>Q26a</t>
  </si>
  <si>
    <t>Q26b</t>
  </si>
  <si>
    <t>Q26c</t>
  </si>
  <si>
    <t>Q26d</t>
  </si>
  <si>
    <t>Q26e</t>
  </si>
  <si>
    <t>Q26f</t>
  </si>
  <si>
    <t>Q26g</t>
  </si>
  <si>
    <t>Q26h</t>
  </si>
  <si>
    <t>Q27</t>
  </si>
  <si>
    <t>Q28a</t>
  </si>
  <si>
    <t>Q28b</t>
  </si>
  <si>
    <t>Q29a</t>
  </si>
  <si>
    <t>Q29b</t>
  </si>
  <si>
    <t>Q30a</t>
  </si>
  <si>
    <t>Q30b</t>
  </si>
  <si>
    <t>Q31</t>
  </si>
  <si>
    <t>Q32a</t>
  </si>
  <si>
    <t>Q32b</t>
  </si>
  <si>
    <t>Q32c</t>
  </si>
  <si>
    <t>Q32d</t>
  </si>
  <si>
    <t>Q32e</t>
  </si>
  <si>
    <t>Q32f</t>
  </si>
  <si>
    <t>Q32g</t>
  </si>
  <si>
    <t>Q32h</t>
  </si>
  <si>
    <t>Q32i</t>
  </si>
  <si>
    <t>Q32j</t>
  </si>
  <si>
    <t>Q32k</t>
  </si>
  <si>
    <t>Q32l</t>
  </si>
  <si>
    <t>Q33</t>
  </si>
  <si>
    <t>Q34a</t>
  </si>
  <si>
    <t>Q34b</t>
  </si>
  <si>
    <t>Q34c</t>
  </si>
  <si>
    <t>Q34d</t>
  </si>
  <si>
    <t>Q34e</t>
  </si>
  <si>
    <t>Q34f</t>
  </si>
  <si>
    <t>Q34g</t>
  </si>
  <si>
    <t>Q34h</t>
  </si>
  <si>
    <t>Q34i</t>
  </si>
  <si>
    <t>Q34j</t>
  </si>
  <si>
    <t>Q34k</t>
  </si>
  <si>
    <t>Q34l</t>
  </si>
  <si>
    <t>Q34m</t>
  </si>
  <si>
    <t>Q34n</t>
  </si>
  <si>
    <t>Q34o</t>
  </si>
  <si>
    <t>Q34p</t>
  </si>
  <si>
    <t>Q34q</t>
  </si>
  <si>
    <t>Q34r</t>
  </si>
  <si>
    <t>Q35a</t>
  </si>
  <si>
    <t>Q35b</t>
  </si>
  <si>
    <t>Q35c</t>
  </si>
  <si>
    <t>Q36</t>
  </si>
  <si>
    <t>Q37</t>
  </si>
  <si>
    <t>Q38</t>
  </si>
  <si>
    <t>EF1</t>
  </si>
  <si>
    <t>EF2</t>
  </si>
  <si>
    <t>EF3</t>
  </si>
  <si>
    <t>EF4</t>
  </si>
  <si>
    <t>EF5</t>
  </si>
  <si>
    <t>EF6</t>
  </si>
  <si>
    <t>EF7</t>
  </si>
  <si>
    <t>EF8</t>
  </si>
  <si>
    <t>EF9</t>
  </si>
  <si>
    <t>EF10</t>
  </si>
  <si>
    <t>What is your nationality?</t>
  </si>
  <si>
    <t>What is your main paid job? Please give me your job title.</t>
  </si>
  <si>
    <t>How old were you when you stopped your full-time education?</t>
  </si>
  <si>
    <t>Are you mainly: Self-employed (with/without employees), Employed, or Other?</t>
  </si>
  <si>
    <t>(If Employed) Is it: On an unlimited permanent contract, fixed term contract, temporary employment agency contract, apprenticeship, or other?</t>
  </si>
  <si>
    <t>(If Fixed Term) What is the exact duration of the contract in number of years and months?</t>
  </si>
  <si>
    <t>What is the main activity of the company or organisation where you work?</t>
  </si>
  <si>
    <t>Are you working in: Public sector, Private sector, Joint private-public organisation, Not for profit sector, or Other?</t>
  </si>
  <si>
    <t>How many people in total work in the local unit of the establishment where you work?</t>
  </si>
  <si>
    <t>How many people work under your supervision, for whom pay increases, bonuses or promotion depend directly on you?</t>
  </si>
  <si>
    <t>How many years have you been in your company or organisation?</t>
  </si>
  <si>
    <t>How many years have you been in your present main job?</t>
  </si>
  <si>
    <t>Besides your main paid job, do you have any other paid job?</t>
  </si>
  <si>
    <t>(If Yes) Is it: Regular, Occasional, or Seasonal?</t>
  </si>
  <si>
    <t>(If Regular) How many hours a week?</t>
  </si>
  <si>
    <t>Are you exposed at work to: Vibrations from hand tools, machinery, etc.?</t>
  </si>
  <si>
    <t>Are you exposed at work to: Noise so loud that you would have to raise your voice to talk to people?</t>
  </si>
  <si>
    <t>Are you exposed at work to: High temperatures which make you perspire even when not working?</t>
  </si>
  <si>
    <t>Are you exposed at work to: Low temperatures whether indoors or outdoors?</t>
  </si>
  <si>
    <t>Are you exposed at work to: Breathing in smoke, fumes (such as welding or exhaust fumes), powder or dust (such as wood dust or mineral dust) etc.?</t>
  </si>
  <si>
    <t>Are you exposed at work to: Breathing in vapours such as solvents and thinners?</t>
  </si>
  <si>
    <t>Are you exposed at work to: Handling or being in direct contact with chemical products or substances?</t>
  </si>
  <si>
    <t>Are you exposed at work to: Radiation such as X-rays, radioactive radiation, welding light, laser beams?</t>
  </si>
  <si>
    <t>Are you exposed at work to: Tobacco smoke from other people?</t>
  </si>
  <si>
    <t>Are you exposed at work to: Handling or being in direct contact with materials which can be infectious, such as waste, bodily fluids, laboratory materials, etc.?</t>
  </si>
  <si>
    <t>Does your main paid job involve: Tiring or painful positions?</t>
  </si>
  <si>
    <t>Does your main paid job involve: Lifting or moving people?</t>
  </si>
  <si>
    <t>Does your main paid job involve: Carrying or moving heavy loads?</t>
  </si>
  <si>
    <t>Does your main paid job involve: Standing?</t>
  </si>
  <si>
    <t>Does your main paid job involve: Repetitive hand or arm movements?</t>
  </si>
  <si>
    <t>Does your main paid job involve: Working with computers: PCs, network, mainframe?</t>
  </si>
  <si>
    <t>Does your main paid job involve: Using the internet / email for professional purposes?</t>
  </si>
  <si>
    <t>Does your main paid job involve: Teleworking from home with a PC?</t>
  </si>
  <si>
    <t>Does your main paid job involve: Working at home (home being your normal workplace), excluding teleworking?</t>
  </si>
  <si>
    <t>Does your main paid job involve: Dealing directly with people who are not employees at your workplace such as customers, passengers, pupils, patients, etc.?</t>
  </si>
  <si>
    <t>Does your main paid job involve: Wearing personal protective equipment?</t>
  </si>
  <si>
    <t>Regarding the health and safety risks related to the performance of your job, how well informed would you say you are?</t>
  </si>
  <si>
    <t>How many hours do you usually work per week, in your main paid job?</t>
  </si>
  <si>
    <t>How many days per week do you usually work in your main paid job?</t>
  </si>
  <si>
    <t>In total, how many minutes per day do you normally spend travelling from home to work and back?</t>
  </si>
  <si>
    <t>Normally, how many times a month do you work at night, for at least 2 hours between 10.00 pm and 05.00 am?</t>
  </si>
  <si>
    <t>And how many times a month do you work in the evening, for at least 2 hours between 6.00 pm and 10.00 pm?</t>
  </si>
  <si>
    <t>And how many times a month do you work on Sundays?</t>
  </si>
  <si>
    <t>And how many times a month do you work on Saturdays?</t>
  </si>
  <si>
    <t>And how many times a month do you work more than 10 hours a day?</t>
  </si>
  <si>
    <t>Do you work part-time?</t>
  </si>
  <si>
    <t>(If Part-time) Would you like to work: More hours, Less hours, or The same number of hours?</t>
  </si>
  <si>
    <t>Do you work: The same number of hours every day?</t>
  </si>
  <si>
    <t>Do you work: The same number of days every week?</t>
  </si>
  <si>
    <t>Do you work: The same number of hours every week?</t>
  </si>
  <si>
    <t>Do you work: Fixed starting and finishing times?</t>
  </si>
  <si>
    <t>Do you work: In shifts?</t>
  </si>
  <si>
    <t>(If Shifts) Do you work: Split shifts, Permanent (night/afternoon/morning), Alternating, or Other?</t>
  </si>
  <si>
    <t>How often do you have to interrupt a task you are doing in order to take on an unforeseen task?</t>
  </si>
  <si>
    <t>(If interruptions occur) For your work, are these interruptions: Disruptive, Without consequences, or Positive?</t>
  </si>
  <si>
    <t>Please tell me, does your job involve short repetitive tasks of less than 1 minute?</t>
  </si>
  <si>
    <t>(If Yes) If you do have to repeat the same task... do you repeat the same movements?</t>
  </si>
  <si>
    <t>Does your job involve: Working at very high speed?</t>
  </si>
  <si>
    <t>Does your job involve: Working to tight deadlines?</t>
  </si>
  <si>
    <t>On the whole, is your pace of work dependent on: The work done by colleagues?</t>
  </si>
  <si>
    <t>On the whole, is your pace of work dependent on: Direct demands from people such as customers, passengers, pupils, patients, etc.?</t>
  </si>
  <si>
    <t>On the whole, is your pace of work dependent on: Numerical production targets or performance targets?</t>
  </si>
  <si>
    <t>On the whole, is your pace of work dependent on: Automatic speed of a machine or movement of a product?</t>
  </si>
  <si>
    <t>On the whole, is your pace of work dependent on: The direct control of your boss?</t>
  </si>
  <si>
    <t>Generally, does your main paid job involve: Meeting precise quality standards?</t>
  </si>
  <si>
    <t>Generally, does your main paid job involve: Assessing yourself the quality of your own work?</t>
  </si>
  <si>
    <t>Generally, does your main paid job involve: Solving unforeseen problems on your own?</t>
  </si>
  <si>
    <t>Generally, does your main paid job involve: Monotonous tasks?</t>
  </si>
  <si>
    <t>Generally, does your main paid job involve: Complex tasks?</t>
  </si>
  <si>
    <t>Generally, does your main paid job involve: Learning new things?</t>
  </si>
  <si>
    <t>Are you able to choose or change: Your order of tasks?</t>
  </si>
  <si>
    <t>Are you able to choose or change: Your methods of work?</t>
  </si>
  <si>
    <t>Are you able to choose or change: Your speed or rate of work?</t>
  </si>
  <si>
    <t>For each of the following statements, please answer Yes or No: You can get assistance from colleagues if you ask for it?</t>
  </si>
  <si>
    <t>For each of the following statements, please answer Yes or No: You can take a break when you wish?</t>
  </si>
  <si>
    <t>For each of the following statements, please answer Yes or No: You are free to decide when to take holidays or days off?</t>
  </si>
  <si>
    <t>For each of the following statements, please answer Yes or No: You can influence your working hours?</t>
  </si>
  <si>
    <t>For each of the following statements, please answer Yes or No: You have enough time to get the job done?</t>
  </si>
  <si>
    <t>For each of the following statements, please answer Yes or No: You know what is expected of you at work?</t>
  </si>
  <si>
    <t>For each of the following statements, please answer Yes or No: Your job requires that you hide your feelings?</t>
  </si>
  <si>
    <t>For each of the following statements, please answer Yes or No: You have access to a telephone for private calls?</t>
  </si>
  <si>
    <t>How well do you think your skills match the demands imposed on you by your job?</t>
  </si>
  <si>
    <t>Over the past 12 months, have you undergone training paid for or provided by your employer... to improve your skills?</t>
  </si>
  <si>
    <t>(If Yes) How many days?</t>
  </si>
  <si>
    <t>Over the past 12 months, have you, or not: Undergone any other training (paid for by yourself)?</t>
  </si>
  <si>
    <t>Over the past 12 months, have you, or not: Learned new things on the job (learning by doing)?</t>
  </si>
  <si>
    <t>Within your workplace, are you able to discuss: Your working conditions in general?</t>
  </si>
  <si>
    <t>Within your workplace, are you able to discuss: The organisation of your work when changes take place?</t>
  </si>
  <si>
    <t>In general, do your working hours fit in with your family or social commitments outside work?</t>
  </si>
  <si>
    <t>Over the past 12 months... have you been subjected to: Physical violence from people from your workplace?</t>
  </si>
  <si>
    <t>Over the past 12 months... have you been subjected to: Physical violence from other people?</t>
  </si>
  <si>
    <t>Over the past 12 months... have you been subjected to: Threats of physical violence?</t>
  </si>
  <si>
    <t>Over the past 12 months... have you been subjected to: Intimidation (bullying/mobbing)?</t>
  </si>
  <si>
    <t>Over the past 12 months... have you been subjected to: Sexual discrimination?</t>
  </si>
  <si>
    <t>Over the past 12 months... have you been subjected to: Unwanted sexual attention?</t>
  </si>
  <si>
    <t>Over the past 12 months... have you been subjected to: Age discrimination?</t>
  </si>
  <si>
    <t>Over the past 12 months... have you been subjected to: Discrimination linked to nationality?</t>
  </si>
  <si>
    <t>Over the past 12 months... have you been subjected to: Discrimination linked to ethnic background?</t>
  </si>
  <si>
    <t>Over the past 12 months... have you been subjected to: Discrimination linked to religion?</t>
  </si>
  <si>
    <t>Over the past 12 months... have you been subjected to: Discrimination linked to disability?</t>
  </si>
  <si>
    <t>Over the past 12 months... have you been subjected to: Discrimination linked to sexual orientation?</t>
  </si>
  <si>
    <t>Do you think your health or safety is at risk because of your work?</t>
  </si>
  <si>
    <t>Does your work affect your health? (IF YES) Hearing problems?</t>
  </si>
  <si>
    <t>Does your work affect your health? (IF YES) Problems with your vision?</t>
  </si>
  <si>
    <t>Does your work affect your health? (IF YES) Skin problems?</t>
  </si>
  <si>
    <t>Does your work affect your health? (IF YES) Backache?</t>
  </si>
  <si>
    <t>Does your work affect your health? (IF YES) Headaches?</t>
  </si>
  <si>
    <t>Does your work affect your health? (IF YES) Stomach ache?</t>
  </si>
  <si>
    <t>Does your work affect your health? (IF YES) Muscular pains in shoulders, neck and/or upper limbs?</t>
  </si>
  <si>
    <t>Does your work affect your health? (IF YES) Muscular pains in lower limbs?</t>
  </si>
  <si>
    <t>Does your work affect your health? (IF YES) Respiratory difficulties?</t>
  </si>
  <si>
    <t>Does your work affect your health? (IF YES) Heart disease?</t>
  </si>
  <si>
    <t>Does your work affect your health? (IF YES) Injury (accident)?</t>
  </si>
  <si>
    <t>Does your work affect your health? (IF YES) Stress?</t>
  </si>
  <si>
    <t>Does your work affect your health? (IF YES) Overall fatigue?</t>
  </si>
  <si>
    <t>Does your work affect your health? (IF YES) Sleeping problems?</t>
  </si>
  <si>
    <t>Does your work affect your health? (IF YES) Allergies?</t>
  </si>
  <si>
    <t>Does your work affect your health? (IF YES) Anxiety?</t>
  </si>
  <si>
    <t>Does your work affect your health? (IF YES) Irritability?</t>
  </si>
  <si>
    <t>Does your work affect your health? (IF YES) Other?</t>
  </si>
  <si>
    <t>In your main paid job, how many days over the past 12 months were you absent due to: An accident at work?</t>
  </si>
  <si>
    <t>In your main paid job, how many days over the past 12 months were you absent due to: Health problems caused by your work?</t>
  </si>
  <si>
    <t>In your main paid job, how many days over the past 12 months were you absent due to: Other health problems?</t>
  </si>
  <si>
    <t>Over the past 12 months did you work when you were sick?</t>
  </si>
  <si>
    <t>On the whole, are you very satisfied, satisfied, not very satisfied or not at all satisfied with working conditions in your main paid job?</t>
  </si>
  <si>
    <t>Do you think you will be able to do the same job you are doing now when you are 60 years old?</t>
  </si>
  <si>
    <t>(EF1) What is your marital status? (Single, Married, Divorced, etc.)</t>
  </si>
  <si>
    <t>(EF2) Sex of the respondent?</t>
  </si>
  <si>
    <t>(EF3) How many people live in your household?</t>
  </si>
  <si>
    <t>(EF4) How many children under 15 are currently living at home?</t>
  </si>
  <si>
    <t>(EF5) Are you: The person mainly responsible for ordinary shopping/looking after home / The person who contributes most to household income?</t>
  </si>
  <si>
    <t>(EF6) How often are you involved in any of the following activities outside work (Voluntary, Political, Caring for children/elderly, Cooking, Housework, Training, Sports, Cultural, Internet/Email, Leisure)?</t>
  </si>
  <si>
    <t>(EF7) What is on average your net monthly income from your main paid job?</t>
  </si>
  <si>
    <t>(EF8) Is your immediate boss a man or a woman?</t>
  </si>
  <si>
    <t>(EF9) What does your remuneration include? (Basic salary, piece rate, overtime, extra payments, shares, profit sharing, etc.)</t>
  </si>
  <si>
    <t>(EF10) What does your remuneration include? (Self-employed: Income from self-employment, profit sharing, shares, etc.)</t>
  </si>
  <si>
    <t xml:space="preserve">Q2a  </t>
  </si>
  <si>
    <t xml:space="preserve"> Exposure to radiation (X-rays )</t>
  </si>
  <si>
    <t>Are you mainly: Self-employed (with/without employees)</t>
  </si>
  <si>
    <t/>
  </si>
  <si>
    <t>(If Employed) Is it: permanent / fixed term / agency / apprenticeship / other?</t>
  </si>
  <si>
    <t>(If fixed term) Exact duration of the contract (years</t>
  </si>
  <si>
    <t>Sector of employment (public/private/joint/non-profit/other)</t>
  </si>
  <si>
    <t>How many people work in your local unit?</t>
  </si>
  <si>
    <t>How many people work under your supervision?</t>
  </si>
  <si>
    <t>How many years in your organisation?</t>
  </si>
  <si>
    <t>How many years in your present main job?</t>
  </si>
  <si>
    <t>Besides your main job</t>
  </si>
  <si>
    <t>(If yes) Regular</t>
  </si>
  <si>
    <t>(If regular) How many hours per week?</t>
  </si>
  <si>
    <t>Exposure to vibration</t>
  </si>
  <si>
    <t>Exposure to loud noise</t>
  </si>
  <si>
    <t>Exposure to high temperatures</t>
  </si>
  <si>
    <t>Exposure to low temperatures</t>
  </si>
  <si>
    <t>Exposure to smoke</t>
  </si>
  <si>
    <t>Exposure to vapours (solvents</t>
  </si>
  <si>
    <t>Contact with chemical products or substances</t>
  </si>
  <si>
    <t>Exposure to radiation (X-rays</t>
  </si>
  <si>
    <t>Exposure to tobacco smoke at work</t>
  </si>
  <si>
    <t>Contact with infectious materials</t>
  </si>
  <si>
    <t>Tiring or painful positions</t>
  </si>
  <si>
    <t>Lifting or moving people</t>
  </si>
  <si>
    <t>Carrying or moving heavy loads</t>
  </si>
  <si>
    <t>Standing</t>
  </si>
  <si>
    <t>Repetitive hand or arm movements</t>
  </si>
  <si>
    <t>Working with computers</t>
  </si>
  <si>
    <t>Using internet/email for work</t>
  </si>
  <si>
    <t>Teleworking from home</t>
  </si>
  <si>
    <t>Working at home (excluding telework)</t>
  </si>
  <si>
    <t>Dealing directly with customers/passengers/patients</t>
  </si>
  <si>
    <t>Wearing personal protective equipment</t>
  </si>
  <si>
    <t>How well informed about health and safety risks</t>
  </si>
  <si>
    <t>Hours worked per week</t>
  </si>
  <si>
    <t>Days worked per week</t>
  </si>
  <si>
    <t>Minutes spent commuting per day</t>
  </si>
  <si>
    <t>Night work frequency</t>
  </si>
  <si>
    <t>Evening work frequency</t>
  </si>
  <si>
    <t>Sunday work frequency</t>
  </si>
  <si>
    <t>Saturday work frequency</t>
  </si>
  <si>
    <t>Work more than 10 hours/day</t>
  </si>
  <si>
    <t>Would you like more/less/same hours?</t>
  </si>
  <si>
    <t>Same number of hours every day</t>
  </si>
  <si>
    <t>Same number of days every week</t>
  </si>
  <si>
    <t>Same number of hours every week</t>
  </si>
  <si>
    <t>Fixed starting and finishing times</t>
  </si>
  <si>
    <t>Do you work shifts?</t>
  </si>
  <si>
    <t>Type of shift pattern</t>
  </si>
  <si>
    <t>How often you interrupt tasks</t>
  </si>
  <si>
    <t>Are interruptions disruptive/neutral/positive</t>
  </si>
  <si>
    <t>Short repetitive tasks (&lt;1 min)</t>
  </si>
  <si>
    <t>Repetition of same movements</t>
  </si>
  <si>
    <t>Working at very high speed</t>
  </si>
  <si>
    <t>Working to tight deadlines</t>
  </si>
  <si>
    <t>Pace dependent on colleagues</t>
  </si>
  <si>
    <t>Pace dependent on direct demands from people</t>
  </si>
  <si>
    <t>Pace dependent on numerical/performance targets</t>
  </si>
  <si>
    <t>Pace dependent on automatic speed of a machine/product</t>
  </si>
  <si>
    <t>Pace dependent on direct control of your boss</t>
  </si>
  <si>
    <t>Meeting precise quality standards</t>
  </si>
  <si>
    <t>Assessing quality of own work</t>
  </si>
  <si>
    <t>Solving unforeseen problems</t>
  </si>
  <si>
    <t>Monotonous tasks</t>
  </si>
  <si>
    <t>Complex tasks</t>
  </si>
  <si>
    <t>Learning new things</t>
  </si>
  <si>
    <t>Able to choose order of tasks</t>
  </si>
  <si>
    <t>Able to choose methods of work</t>
  </si>
  <si>
    <t>Able to choose speed/rate of work</t>
  </si>
  <si>
    <t>Can get assistance from colleagues</t>
  </si>
  <si>
    <t>Can take break when you want</t>
  </si>
  <si>
    <t>Can decide holidays/days off</t>
  </si>
  <si>
    <t>Can influence your working hours</t>
  </si>
  <si>
    <t>Have enough time to get job done</t>
  </si>
  <si>
    <t>Know what is expected of you</t>
  </si>
  <si>
    <t>Job requires hiding feelings</t>
  </si>
  <si>
    <t>Access to telephone for private calls</t>
  </si>
  <si>
    <t>Skills match job demands</t>
  </si>
  <si>
    <t>Employer-paid training</t>
  </si>
  <si>
    <t>Number of training days</t>
  </si>
  <si>
    <t>Training paid by yourself</t>
  </si>
  <si>
    <t>Learning by doing on the job</t>
  </si>
  <si>
    <t>Able to discuss working conditions</t>
  </si>
  <si>
    <t>Able to discuss organisation of work</t>
  </si>
  <si>
    <t>Working hours fit family/social life</t>
  </si>
  <si>
    <t>Physical violence from people at work</t>
  </si>
  <si>
    <t>Physical violence from other people</t>
  </si>
  <si>
    <t>Threats of physical violence</t>
  </si>
  <si>
    <t>Intimidation/bullying/mobbing</t>
  </si>
  <si>
    <t>Sexual discrimination</t>
  </si>
  <si>
    <t>Unwanted sexual attention</t>
  </si>
  <si>
    <t>Age discrimination</t>
  </si>
  <si>
    <t>Nationality discrimination</t>
  </si>
  <si>
    <t>Ethnic discrimination</t>
  </si>
  <si>
    <t>Religious discrimination</t>
  </si>
  <si>
    <t>Disability discrimination</t>
  </si>
  <si>
    <t>Sexual orientation discrimination</t>
  </si>
  <si>
    <t>Health or safety at risk because of your work</t>
  </si>
  <si>
    <t>Health affected: Hearing problems</t>
  </si>
  <si>
    <t>Health affected: Vision problems</t>
  </si>
  <si>
    <t>Health affected: Skin problems</t>
  </si>
  <si>
    <t>Health affected: Backache</t>
  </si>
  <si>
    <t>Health affected: Headaches</t>
  </si>
  <si>
    <t>Health affected: Stomach ache</t>
  </si>
  <si>
    <t>Health affected: Muscular pain (upper body)</t>
  </si>
  <si>
    <t>Health affected: Muscular pain (lower body)</t>
  </si>
  <si>
    <t>Health affected: Respiratory difficulties</t>
  </si>
  <si>
    <t>Health affected: Heart disease</t>
  </si>
  <si>
    <t>Health affected: Injury/accident</t>
  </si>
  <si>
    <t>Health affected: Stress</t>
  </si>
  <si>
    <t>Health affected: Overall fatigue</t>
  </si>
  <si>
    <t>Health affected: Sleeping problems</t>
  </si>
  <si>
    <t>Health affected: Allergies</t>
  </si>
  <si>
    <t>Health affected: Anxiety</t>
  </si>
  <si>
    <t>Health affected: Irritability</t>
  </si>
  <si>
    <t>Health affected: Other</t>
  </si>
  <si>
    <t>Absence: accident at work</t>
  </si>
  <si>
    <t>Absence: work-related health problems</t>
  </si>
  <si>
    <t>Absence: other health problems</t>
  </si>
  <si>
    <t>Worked while sick</t>
  </si>
  <si>
    <t>Satisfaction with working conditions</t>
  </si>
  <si>
    <t>Able to do same job at 60</t>
  </si>
  <si>
    <t>Marital status</t>
  </si>
  <si>
    <t>Sex of respondent</t>
  </si>
  <si>
    <t>Number of people in household</t>
  </si>
  <si>
    <t>Children under 15 in household</t>
  </si>
  <si>
    <t>Responsible for home / main income</t>
  </si>
  <si>
    <t>Activities outside work</t>
  </si>
  <si>
    <t>Net monthly income</t>
  </si>
  <si>
    <t>Is your immediate boss a man or a woman?</t>
  </si>
  <si>
    <t>Remuneration components (employee)</t>
  </si>
  <si>
    <t>Remuneration components (self-employed)</t>
  </si>
  <si>
    <t xml:space="preserve">EWCSR3 </t>
  </si>
  <si>
    <t xml:space="preserve"> Q.1   </t>
  </si>
  <si>
    <t xml:space="preserve"> What is your nationality? Please tell me the country (or countries) that apply. </t>
  </si>
  <si>
    <t xml:space="preserve">  </t>
  </si>
  <si>
    <t xml:space="preserve"> Q.2a  </t>
  </si>
  <si>
    <t xml:space="preserve"> q2r </t>
  </si>
  <si>
    <t xml:space="preserve"> Q.2. - What is your main paid job ? Please give me your job title in full.</t>
  </si>
  <si>
    <t xml:space="preserve"> Q.3a  </t>
  </si>
  <si>
    <t xml:space="preserve"> How many years have you been in your company or organisation? </t>
  </si>
  <si>
    <t xml:space="preserve"> q2d </t>
  </si>
  <si>
    <t xml:space="preserve"> q2d. How many years have you been in your company or organisation?</t>
  </si>
  <si>
    <t xml:space="preserve"> Q.3b  </t>
  </si>
  <si>
    <t xml:space="preserve"> How many years have you been in your present main job? </t>
  </si>
  <si>
    <t xml:space="preserve"> q3b_n </t>
  </si>
  <si>
    <t xml:space="preserve"> Q.3.B. - How many years have you been in your present main job?</t>
  </si>
  <si>
    <t xml:space="preserve"> Q.4a  </t>
  </si>
  <si>
    <t xml:space="preserve"> Q.4b  </t>
  </si>
  <si>
    <t xml:space="preserve"> Is it: On an unlimited permanent contract</t>
  </si>
  <si>
    <t xml:space="preserve"> or other? </t>
  </si>
  <si>
    <t xml:space="preserve"> q4g </t>
  </si>
  <si>
    <t xml:space="preserve"> Type of contract</t>
  </si>
  <si>
    <t xml:space="preserve"> Q.4c  </t>
  </si>
  <si>
    <t xml:space="preserve"> What is the exact duration of the contract in number of years and months? </t>
  </si>
  <si>
    <t xml:space="preserve"> q4i_y </t>
  </si>
  <si>
    <t xml:space="preserve"> How long is it for? (years/months)</t>
  </si>
  <si>
    <t xml:space="preserve"> Q.5   </t>
  </si>
  <si>
    <t xml:space="preserve"> q5 </t>
  </si>
  <si>
    <t xml:space="preserve"> What is the main activity of your company or organisation?</t>
  </si>
  <si>
    <t xml:space="preserve"> Q.6   </t>
  </si>
  <si>
    <t xml:space="preserve"> Are you working in: National/local government services</t>
  </si>
  <si>
    <t xml:space="preserve"> q6 </t>
  </si>
  <si>
    <t xml:space="preserve"> Sector of organisation</t>
  </si>
  <si>
    <t xml:space="preserve"> Q.7   </t>
  </si>
  <si>
    <t xml:space="preserve"> How many people in total work in the local unit of the establishment where you work? </t>
  </si>
  <si>
    <t xml:space="preserve"> q7 </t>
  </si>
  <si>
    <t xml:space="preserve"> Size of local unit</t>
  </si>
  <si>
    <t xml:space="preserve"> Q.8   </t>
  </si>
  <si>
    <t xml:space="preserve"> q8 </t>
  </si>
  <si>
    <t xml:space="preserve"> People under your supervision</t>
  </si>
  <si>
    <t xml:space="preserve"> Q.9   </t>
  </si>
  <si>
    <t xml:space="preserve"> Besides your main paid job</t>
  </si>
  <si>
    <t xml:space="preserve"> do you h</t>
  </si>
  <si>
    <t>Survey</t>
  </si>
  <si>
    <t>Question Number</t>
  </si>
  <si>
    <t>Question</t>
  </si>
  <si>
    <t>Matched Column Name</t>
  </si>
  <si>
    <t>Matched Column Label</t>
  </si>
  <si>
    <t>EWCSR3</t>
  </si>
  <si>
    <t>Q.1</t>
  </si>
  <si>
    <t>What is your nationality? Please tell me the country (or countries) that apply.</t>
  </si>
  <si>
    <t>Q.2a</t>
  </si>
  <si>
    <t>q2r</t>
  </si>
  <si>
    <t>Q.3a</t>
  </si>
  <si>
    <t>q2d</t>
  </si>
  <si>
    <t>q2d. How many years have you been in your company or organisation?</t>
  </si>
  <si>
    <t>Q.3b</t>
  </si>
  <si>
    <t>Q.4a</t>
  </si>
  <si>
    <t xml:space="preserve"> or Other?</t>
  </si>
  <si>
    <t>Q.4b</t>
  </si>
  <si>
    <t>Is it: On an unlimited permanent contract</t>
  </si>
  <si>
    <t xml:space="preserve"> or other?</t>
  </si>
  <si>
    <t>Q.4c</t>
  </si>
  <si>
    <t>What is the exact duration of the contract in number of years and months?</t>
  </si>
  <si>
    <t>q4i_y</t>
  </si>
  <si>
    <t>Q.5</t>
  </si>
  <si>
    <t>q5</t>
  </si>
  <si>
    <t>Q.6</t>
  </si>
  <si>
    <t>Are you working in: National or local government services</t>
  </si>
  <si>
    <t>Q.7</t>
  </si>
  <si>
    <t>q7</t>
  </si>
  <si>
    <t>Q.8</t>
  </si>
  <si>
    <t>How many people work under your supervision for whom promotion or pay increase depends on you?</t>
  </si>
  <si>
    <t>q8</t>
  </si>
  <si>
    <t>Q.9</t>
  </si>
  <si>
    <t>Besides your main paid job</t>
  </si>
  <si>
    <t xml:space="preserve"> do you have any other paid job?</t>
  </si>
  <si>
    <t>Q.10</t>
  </si>
  <si>
    <t>For how many hours a week (in other paid job)?</t>
  </si>
  <si>
    <t>Q.11.1</t>
  </si>
  <si>
    <t>Vibrations from hand tools machinery etc</t>
  </si>
  <si>
    <t>q11a_n</t>
  </si>
  <si>
    <t>Q.11.2</t>
  </si>
  <si>
    <t>Noise so loud you must raise your voice</t>
  </si>
  <si>
    <t>q11b_n</t>
  </si>
  <si>
    <t>Q.11.3</t>
  </si>
  <si>
    <t>High temperatures causing perspiration</t>
  </si>
  <si>
    <t>q11c_n</t>
  </si>
  <si>
    <t>Q.11.4</t>
  </si>
  <si>
    <t>Low temperatures indoors or outdoors</t>
  </si>
  <si>
    <t>q11d_n</t>
  </si>
  <si>
    <t>Q.11.5</t>
  </si>
  <si>
    <t>Vapours fumes dust or dangerous substances</t>
  </si>
  <si>
    <t>q11e_n</t>
  </si>
  <si>
    <t>Q.11.6</t>
  </si>
  <si>
    <t>Handling dangerous products or substances</t>
  </si>
  <si>
    <t>q11f_n</t>
  </si>
  <si>
    <t>Q.11.7</t>
  </si>
  <si>
    <t>Radiation such as x-rays lasers etc</t>
  </si>
  <si>
    <t>q11g_n</t>
  </si>
  <si>
    <t>Q.12.1</t>
  </si>
  <si>
    <t>Painful or tiring positions</t>
  </si>
  <si>
    <t>q12a_n</t>
  </si>
  <si>
    <t>Q.12.2</t>
  </si>
  <si>
    <t>q12b_n</t>
  </si>
  <si>
    <t>Q.12.3</t>
  </si>
  <si>
    <t>q12c_n</t>
  </si>
  <si>
    <t>Q.12.4</t>
  </si>
  <si>
    <t>q12d_n</t>
  </si>
  <si>
    <t>Q.12.5</t>
  </si>
  <si>
    <t>q12e_n</t>
  </si>
  <si>
    <t>Q.12.6</t>
  </si>
  <si>
    <t>Working at home normally</t>
  </si>
  <si>
    <t>q12f_n</t>
  </si>
  <si>
    <t>Q.12.7</t>
  </si>
  <si>
    <t>Dealing directly with people</t>
  </si>
  <si>
    <t>q12g_n</t>
  </si>
  <si>
    <t>Q.12.8</t>
  </si>
  <si>
    <t>q12h_n</t>
  </si>
  <si>
    <t>Q.13</t>
  </si>
  <si>
    <t>Well informed about risks from materials or instruments</t>
  </si>
  <si>
    <t>q13_n</t>
  </si>
  <si>
    <t>Q.14</t>
  </si>
  <si>
    <t>How many hours do you usually work per week?</t>
  </si>
  <si>
    <t>q14_n</t>
  </si>
  <si>
    <t>Q.15</t>
  </si>
  <si>
    <t>Minutes per day travelling home to work</t>
  </si>
  <si>
    <t>q15_n</t>
  </si>
  <si>
    <t>Q.16a</t>
  </si>
  <si>
    <t>q16a_n</t>
  </si>
  <si>
    <t>Q.16b</t>
  </si>
  <si>
    <t>q16b_n</t>
  </si>
  <si>
    <t>Q.16c</t>
  </si>
  <si>
    <t>Sunday work</t>
  </si>
  <si>
    <t>q16c_n</t>
  </si>
  <si>
    <t>Q.16d</t>
  </si>
  <si>
    <t>Saturday work</t>
  </si>
  <si>
    <t>q16d_n</t>
  </si>
  <si>
    <t>Q.16e</t>
  </si>
  <si>
    <t>Work more than 10 hours a day</t>
  </si>
  <si>
    <t>q16e_n</t>
  </si>
  <si>
    <t>Q.17a</t>
  </si>
  <si>
    <t>q17a_n</t>
  </si>
  <si>
    <t>Q.17b</t>
  </si>
  <si>
    <t>Would you like to work more or fewer hours?</t>
  </si>
  <si>
    <t>q17b_n</t>
  </si>
  <si>
    <t>Q.18a.1</t>
  </si>
  <si>
    <t>q16a_a</t>
  </si>
  <si>
    <t>q16a_a. Do you work the same number of hours every day?</t>
  </si>
  <si>
    <t>Q.18a.2</t>
  </si>
  <si>
    <t>q16a_b</t>
  </si>
  <si>
    <t>q16a_b. Do you work the same number of days every week?</t>
  </si>
  <si>
    <t>Q.18a.3</t>
  </si>
  <si>
    <t>q16a_c</t>
  </si>
  <si>
    <t>Q.18a.4</t>
  </si>
  <si>
    <t>Work during the daytime</t>
  </si>
  <si>
    <t>q16a_d</t>
  </si>
  <si>
    <t>Q.18b</t>
  </si>
  <si>
    <t>q16a_e</t>
  </si>
  <si>
    <t>Q.18c</t>
  </si>
  <si>
    <t>Type of shifts</t>
  </si>
  <si>
    <t>q16a_f</t>
  </si>
  <si>
    <t>Q.19a</t>
  </si>
  <si>
    <t>How often do working times change?</t>
  </si>
  <si>
    <t>q19a_n</t>
  </si>
  <si>
    <t>Q.19b</t>
  </si>
  <si>
    <t>How many days notice of changes?</t>
  </si>
  <si>
    <t>q19b_n</t>
  </si>
  <si>
    <t>Q.20</t>
  </si>
  <si>
    <t>Do your working hours fit family life?</t>
  </si>
  <si>
    <t>q20_n</t>
  </si>
  <si>
    <t>Q.21a</t>
  </si>
  <si>
    <t>Short repetitive tasks</t>
  </si>
  <si>
    <t>q21a_n</t>
  </si>
  <si>
    <t>Q.21b.1</t>
  </si>
  <si>
    <t>q20b_a</t>
  </si>
  <si>
    <t>q20b_a. Does your job involve working at very high speed?</t>
  </si>
  <si>
    <t>Q.21b.2</t>
  </si>
  <si>
    <t>q20b_b</t>
  </si>
  <si>
    <t>q20b_b. Does your job involve working to tight deadlines?</t>
  </si>
  <si>
    <t>Q.22.1</t>
  </si>
  <si>
    <t>q21a</t>
  </si>
  <si>
    <t>Q.22.2</t>
  </si>
  <si>
    <t>Pace dependent on customers</t>
  </si>
  <si>
    <t>q21b</t>
  </si>
  <si>
    <t>Q.22.3</t>
  </si>
  <si>
    <t>Pace dependent on targets</t>
  </si>
  <si>
    <t>q21c</t>
  </si>
  <si>
    <t>Q.22.4</t>
  </si>
  <si>
    <t>Pace dependent on machine speed</t>
  </si>
  <si>
    <t>q21d</t>
  </si>
  <si>
    <t>Q.22.5</t>
  </si>
  <si>
    <t>Pace dependent on boss</t>
  </si>
  <si>
    <t>q21e</t>
  </si>
  <si>
    <t>Q.23a</t>
  </si>
  <si>
    <t>Interrupting tasks</t>
  </si>
  <si>
    <t>q22a</t>
  </si>
  <si>
    <t>Q.23b</t>
  </si>
  <si>
    <t>Causes of interruptions</t>
  </si>
  <si>
    <t>q22b</t>
  </si>
  <si>
    <t>Q.23c</t>
  </si>
  <si>
    <t>Are these interruptions disruptive?</t>
  </si>
  <si>
    <t>q22c</t>
  </si>
  <si>
    <t>Q.24.1</t>
  </si>
  <si>
    <t>q23a</t>
  </si>
  <si>
    <t>Q.24.2</t>
  </si>
  <si>
    <t>q23b</t>
  </si>
  <si>
    <t>Q.24.3</t>
  </si>
  <si>
    <t>Solving unforeseen problems on your own</t>
  </si>
  <si>
    <t>q23c</t>
  </si>
  <si>
    <t>Q.24.4</t>
  </si>
  <si>
    <t>q23d</t>
  </si>
  <si>
    <t>Q.24.5</t>
  </si>
  <si>
    <t>q23e</t>
  </si>
  <si>
    <t>Q.24.6</t>
  </si>
  <si>
    <t>q23f</t>
  </si>
  <si>
    <t>Q.25</t>
  </si>
  <si>
    <t>Control over tasks and methods</t>
  </si>
  <si>
    <t>q24</t>
  </si>
  <si>
    <t>Q.26.1</t>
  </si>
  <si>
    <t>Get assistance from colleagues</t>
  </si>
  <si>
    <t>q25a</t>
  </si>
  <si>
    <t>Q.26.2</t>
  </si>
  <si>
    <t>Take breaks when you wish</t>
  </si>
  <si>
    <t>q25b</t>
  </si>
  <si>
    <t>Q.26.3</t>
  </si>
  <si>
    <t>Take holidays when you want</t>
  </si>
  <si>
    <t>q25c</t>
  </si>
  <si>
    <t>Q.26.4</t>
  </si>
  <si>
    <t>Influence working hours</t>
  </si>
  <si>
    <t>q25d</t>
  </si>
  <si>
    <t>Q.26.5</t>
  </si>
  <si>
    <t>Enough time to get job done</t>
  </si>
  <si>
    <t>q25e</t>
  </si>
  <si>
    <t>Q.26.6</t>
  </si>
  <si>
    <t>q25f</t>
  </si>
  <si>
    <t>Q.27a</t>
  </si>
  <si>
    <t>Responsibility for planning staffing working times</t>
  </si>
  <si>
    <t>q26a</t>
  </si>
  <si>
    <t>Q.27b</t>
  </si>
  <si>
    <t>Rotating tasks teamwork</t>
  </si>
  <si>
    <t>q26b</t>
  </si>
  <si>
    <t>Q.28</t>
  </si>
  <si>
    <t>How well do your skills match job demands?</t>
  </si>
  <si>
    <t>q27</t>
  </si>
  <si>
    <t>Q.29</t>
  </si>
  <si>
    <t>Training paid by employer</t>
  </si>
  <si>
    <t>q28</t>
  </si>
  <si>
    <t>Q.30a</t>
  </si>
  <si>
    <t>q29a</t>
  </si>
  <si>
    <t>Q.30b</t>
  </si>
  <si>
    <t>Exchanges of views with colleagues/q30b</t>
  </si>
  <si>
    <t>q29b</t>
  </si>
  <si>
    <t>Q.30c</t>
  </si>
  <si>
    <t>Do these exchanges lead to improvements?</t>
  </si>
  <si>
    <t>q29c</t>
  </si>
  <si>
    <t>Q.31</t>
  </si>
  <si>
    <t>Personally subjected to violence/discrimination</t>
  </si>
  <si>
    <t>q30</t>
  </si>
  <si>
    <t>Q.32</t>
  </si>
  <si>
    <t>Aware of existence of violence/discrimination</t>
  </si>
  <si>
    <t>q31</t>
  </si>
  <si>
    <t>Q.33</t>
  </si>
  <si>
    <t>q33_n</t>
  </si>
  <si>
    <t>Q.34</t>
  </si>
  <si>
    <t>Health or safety at risk</t>
  </si>
  <si>
    <t>q32</t>
  </si>
  <si>
    <t>Q.35</t>
  </si>
  <si>
    <t>Does your work affect your health?</t>
  </si>
  <si>
    <t>q33</t>
  </si>
  <si>
    <t>Q.36a</t>
  </si>
  <si>
    <t>Absent due to accident</t>
  </si>
  <si>
    <t>q34a</t>
  </si>
  <si>
    <t>Q.36b</t>
  </si>
  <si>
    <t>Absent due to work-related health problem</t>
  </si>
  <si>
    <t>q34b</t>
  </si>
  <si>
    <t>Q.36c</t>
  </si>
  <si>
    <t>Absent due to other health problem</t>
  </si>
  <si>
    <t>q34c</t>
  </si>
  <si>
    <t>Q.37</t>
  </si>
  <si>
    <t>Can you do same job at age 60?</t>
  </si>
  <si>
    <t>q36</t>
  </si>
  <si>
    <t>Q.38</t>
  </si>
  <si>
    <t>Overall satisfaction with working conditions</t>
  </si>
  <si>
    <t>q35</t>
  </si>
  <si>
    <r>
      <t xml:space="preserve">What is your nationality? Please tell me the country (or countries) that apply. </t>
    </r>
    <r>
      <rPr>
        <vertAlign val="superscript"/>
        <sz val="10"/>
        <color rgb="FF444746"/>
        <rFont val="Arial"/>
        <family val="2"/>
      </rPr>
      <t>1</t>
    </r>
  </si>
  <si>
    <r>
      <t xml:space="preserve">What is your main paid job? Please give me your job title. </t>
    </r>
    <r>
      <rPr>
        <vertAlign val="superscript"/>
        <sz val="10"/>
        <color rgb="FF444746"/>
        <rFont val="Arial"/>
        <family val="2"/>
      </rPr>
      <t>2</t>
    </r>
  </si>
  <si>
    <r>
      <t xml:space="preserve">How many years have you been in your company or organisation? </t>
    </r>
    <r>
      <rPr>
        <vertAlign val="superscript"/>
        <sz val="10"/>
        <color rgb="FF444746"/>
        <rFont val="Arial"/>
        <family val="2"/>
      </rPr>
      <t>3</t>
    </r>
  </si>
  <si>
    <r>
      <t xml:space="preserve">How many years have you been in your present main job? </t>
    </r>
    <r>
      <rPr>
        <vertAlign val="superscript"/>
        <sz val="10"/>
        <color rgb="FF444746"/>
        <rFont val="Arial"/>
        <family val="2"/>
      </rPr>
      <t>4</t>
    </r>
  </si>
  <si>
    <r>
      <t xml:space="preserve">Are you mainly: Self-employed (with/without employees), Employed, or Other? </t>
    </r>
    <r>
      <rPr>
        <vertAlign val="superscript"/>
        <sz val="10"/>
        <color rgb="FF444746"/>
        <rFont val="Arial"/>
        <family val="2"/>
      </rPr>
      <t>5</t>
    </r>
  </si>
  <si>
    <r>
      <t xml:space="preserve">Is it: On an unlimited permanent contract, fixed term contract, temporary agency contract, apprenticeship, or other? </t>
    </r>
    <r>
      <rPr>
        <vertAlign val="superscript"/>
        <sz val="10"/>
        <color rgb="FF444746"/>
        <rFont val="Arial"/>
        <family val="2"/>
      </rPr>
      <t>6</t>
    </r>
  </si>
  <si>
    <r>
      <t xml:space="preserve">What is the exact duration of the contract in number of years and months? </t>
    </r>
    <r>
      <rPr>
        <vertAlign val="superscript"/>
        <sz val="10"/>
        <color rgb="FF444746"/>
        <rFont val="Arial"/>
        <family val="2"/>
      </rPr>
      <t>7</t>
    </r>
  </si>
  <si>
    <r>
      <t xml:space="preserve">What is the main activity of the company or organisation where you work? </t>
    </r>
    <r>
      <rPr>
        <vertAlign val="superscript"/>
        <sz val="10"/>
        <color rgb="FF444746"/>
        <rFont val="Arial"/>
        <family val="2"/>
      </rPr>
      <t>8</t>
    </r>
  </si>
  <si>
    <r>
      <t xml:space="preserve">Are you working in: National or local government services, State-owned company, Another company/business, or Other? </t>
    </r>
    <r>
      <rPr>
        <vertAlign val="superscript"/>
        <sz val="10"/>
        <color rgb="FF444746"/>
        <rFont val="Arial"/>
        <family val="2"/>
      </rPr>
      <t>9</t>
    </r>
  </si>
  <si>
    <r>
      <t xml:space="preserve">How many people in total work in the local unit of the establishment where you work? </t>
    </r>
    <r>
      <rPr>
        <vertAlign val="superscript"/>
        <sz val="10"/>
        <color rgb="FF444746"/>
        <rFont val="Arial"/>
        <family val="2"/>
      </rPr>
      <t>10</t>
    </r>
  </si>
  <si>
    <r>
      <t xml:space="preserve">How many people work under your supervision, for whom pay increases, bonuses or promotion depend directly on you? </t>
    </r>
    <r>
      <rPr>
        <vertAlign val="superscript"/>
        <sz val="10"/>
        <color rgb="FF444746"/>
        <rFont val="Arial"/>
        <family val="2"/>
      </rPr>
      <t>11</t>
    </r>
  </si>
  <si>
    <r>
      <t xml:space="preserve">Besides your main paid job, do you have any other paid job? </t>
    </r>
    <r>
      <rPr>
        <vertAlign val="superscript"/>
        <sz val="10"/>
        <color rgb="FF444746"/>
        <rFont val="Arial"/>
        <family val="2"/>
      </rPr>
      <t>12</t>
    </r>
  </si>
  <si>
    <r>
      <t xml:space="preserve">For how many hours a week (in other paid job)? </t>
    </r>
    <r>
      <rPr>
        <vertAlign val="superscript"/>
        <sz val="10"/>
        <color rgb="FF444746"/>
        <rFont val="Arial"/>
        <family val="2"/>
      </rPr>
      <t>13</t>
    </r>
  </si>
  <si>
    <r>
      <t xml:space="preserve">Are you exposed at work to: Vibrations from hand tools, machinery, etc.? </t>
    </r>
    <r>
      <rPr>
        <vertAlign val="superscript"/>
        <sz val="10"/>
        <color rgb="FF444746"/>
        <rFont val="Arial"/>
        <family val="2"/>
      </rPr>
      <t>14</t>
    </r>
  </si>
  <si>
    <r>
      <t xml:space="preserve">Are you exposed at work to: Noise so loud that you would have to raise your voice to talk to people? </t>
    </r>
    <r>
      <rPr>
        <vertAlign val="superscript"/>
        <sz val="10"/>
        <color rgb="FF444746"/>
        <rFont val="Arial"/>
        <family val="2"/>
      </rPr>
      <t>15</t>
    </r>
  </si>
  <si>
    <r>
      <t xml:space="preserve">Are you exposed at work to: High temperatures which make you perspire even when not working? </t>
    </r>
    <r>
      <rPr>
        <vertAlign val="superscript"/>
        <sz val="10"/>
        <color rgb="FF444746"/>
        <rFont val="Arial"/>
        <family val="2"/>
      </rPr>
      <t>16</t>
    </r>
  </si>
  <si>
    <r>
      <t xml:space="preserve">Are you exposed at work to: Low temperatures whether indoors or outdoors? </t>
    </r>
    <r>
      <rPr>
        <vertAlign val="superscript"/>
        <sz val="10"/>
        <color rgb="FF444746"/>
        <rFont val="Arial"/>
        <family val="2"/>
      </rPr>
      <t>17</t>
    </r>
  </si>
  <si>
    <r>
      <t xml:space="preserve">Are you exposed at work to: Breathing in vapours, fumes, dust, or dangerous substances such as chemicals, infectious materials, etc.? </t>
    </r>
    <r>
      <rPr>
        <vertAlign val="superscript"/>
        <sz val="10"/>
        <color rgb="FF444746"/>
        <rFont val="Arial"/>
        <family val="2"/>
      </rPr>
      <t>18</t>
    </r>
  </si>
  <si>
    <r>
      <t xml:space="preserve">Are you exposed at work to: Handling or touching dangerous products or substances? </t>
    </r>
    <r>
      <rPr>
        <vertAlign val="superscript"/>
        <sz val="10"/>
        <color rgb="FF444746"/>
        <rFont val="Arial"/>
        <family val="2"/>
      </rPr>
      <t>19</t>
    </r>
  </si>
  <si>
    <r>
      <t xml:space="preserve">Are you exposed at work to: Radiation such as X-rays, radioactive radiation, welding light, laser beams? </t>
    </r>
    <r>
      <rPr>
        <vertAlign val="superscript"/>
        <sz val="10"/>
        <color rgb="FF444746"/>
        <rFont val="Arial"/>
        <family val="2"/>
      </rPr>
      <t>20</t>
    </r>
  </si>
  <si>
    <r>
      <t xml:space="preserve">Does your main paid job involve: Painful or tiring positions? </t>
    </r>
    <r>
      <rPr>
        <vertAlign val="superscript"/>
        <sz val="10"/>
        <color rgb="FF444746"/>
        <rFont val="Arial"/>
        <family val="2"/>
      </rPr>
      <t>21</t>
    </r>
  </si>
  <si>
    <r>
      <t xml:space="preserve">Does your main paid job involve: Carrying or moving heavy loads? </t>
    </r>
    <r>
      <rPr>
        <vertAlign val="superscript"/>
        <sz val="10"/>
        <color rgb="FF444746"/>
        <rFont val="Arial"/>
        <family val="2"/>
      </rPr>
      <t>22</t>
    </r>
  </si>
  <si>
    <r>
      <t xml:space="preserve">Does your main paid job involve: Repetitive hand or arm movements? </t>
    </r>
    <r>
      <rPr>
        <vertAlign val="superscript"/>
        <sz val="10"/>
        <color rgb="FF444746"/>
        <rFont val="Arial"/>
        <family val="2"/>
      </rPr>
      <t>23</t>
    </r>
  </si>
  <si>
    <r>
      <t xml:space="preserve">Does your main paid job involve: Working with computers: PCs, network, mainframe? </t>
    </r>
    <r>
      <rPr>
        <vertAlign val="superscript"/>
        <sz val="10"/>
        <color rgb="FF444746"/>
        <rFont val="Arial"/>
        <family val="2"/>
      </rPr>
      <t>24</t>
    </r>
  </si>
  <si>
    <r>
      <t xml:space="preserve">Does your main paid job involve: Teleworking from home with a PC? </t>
    </r>
    <r>
      <rPr>
        <vertAlign val="superscript"/>
        <sz val="10"/>
        <color rgb="FF444746"/>
        <rFont val="Arial"/>
        <family val="2"/>
      </rPr>
      <t>25</t>
    </r>
  </si>
  <si>
    <r>
      <t xml:space="preserve">Does your main paid job involve: Working at home (home being your normal workplace), excluding teleworking? </t>
    </r>
    <r>
      <rPr>
        <vertAlign val="superscript"/>
        <sz val="10"/>
        <color rgb="FF444746"/>
        <rFont val="Arial"/>
        <family val="2"/>
      </rPr>
      <t>26</t>
    </r>
  </si>
  <si>
    <r>
      <t xml:space="preserve">Does your main paid job involve: Dealing directly with people who are not employees at your workplace such as customers, passengers, pupils, patients, etc? </t>
    </r>
    <r>
      <rPr>
        <vertAlign val="superscript"/>
        <sz val="10"/>
        <color rgb="FF444746"/>
        <rFont val="Arial"/>
        <family val="2"/>
      </rPr>
      <t>27</t>
    </r>
  </si>
  <si>
    <r>
      <t xml:space="preserve">Does your main paid job involve: Wearing personal protective equipment? </t>
    </r>
    <r>
      <rPr>
        <vertAlign val="superscript"/>
        <sz val="10"/>
        <color rgb="FF444746"/>
        <rFont val="Arial"/>
        <family val="2"/>
      </rPr>
      <t>28</t>
    </r>
  </si>
  <si>
    <r>
      <t xml:space="preserve">Would you say you are very well informed... about the risks resulting from the use of materials, instruments or products which you handle in your job? </t>
    </r>
    <r>
      <rPr>
        <vertAlign val="superscript"/>
        <sz val="10"/>
        <color rgb="FF444746"/>
        <rFont val="Arial"/>
        <family val="2"/>
      </rPr>
      <t>29</t>
    </r>
  </si>
  <si>
    <r>
      <t xml:space="preserve">How many hours do you usually work per week, in your main paid job? </t>
    </r>
    <r>
      <rPr>
        <vertAlign val="superscript"/>
        <sz val="10"/>
        <color rgb="FF444746"/>
        <rFont val="Arial"/>
        <family val="2"/>
      </rPr>
      <t>30</t>
    </r>
  </si>
  <si>
    <r>
      <t xml:space="preserve">In total, how many minutes per day do you normally spend travelling from home to work and back? </t>
    </r>
    <r>
      <rPr>
        <vertAlign val="superscript"/>
        <sz val="10"/>
        <color rgb="FF444746"/>
        <rFont val="Arial"/>
        <family val="2"/>
      </rPr>
      <t>31</t>
    </r>
  </si>
  <si>
    <r>
      <t xml:space="preserve">Normally, how many times a month do you work at night, say for at least 2 hours between 10.00 pm and 05.00 am? </t>
    </r>
    <r>
      <rPr>
        <vertAlign val="superscript"/>
        <sz val="10"/>
        <color rgb="FF444746"/>
        <rFont val="Arial"/>
        <family val="2"/>
      </rPr>
      <t>32</t>
    </r>
  </si>
  <si>
    <r>
      <t xml:space="preserve">And how many times a month do you work in the evening, for at least 2 hours between 6pm and 10pm? </t>
    </r>
    <r>
      <rPr>
        <vertAlign val="superscript"/>
        <sz val="10"/>
        <color rgb="FF444746"/>
        <rFont val="Arial"/>
        <family val="2"/>
      </rPr>
      <t>33</t>
    </r>
  </si>
  <si>
    <r>
      <t xml:space="preserve">And how many times a month do you work on Sundays? </t>
    </r>
    <r>
      <rPr>
        <vertAlign val="superscript"/>
        <sz val="10"/>
        <color rgb="FF444746"/>
        <rFont val="Arial"/>
        <family val="2"/>
      </rPr>
      <t>34</t>
    </r>
  </si>
  <si>
    <r>
      <t xml:space="preserve">And how many times a month do you work on Saturdays? </t>
    </r>
    <r>
      <rPr>
        <vertAlign val="superscript"/>
        <sz val="10"/>
        <color rgb="FF444746"/>
        <rFont val="Arial"/>
        <family val="2"/>
      </rPr>
      <t>35</t>
    </r>
  </si>
  <si>
    <r>
      <t xml:space="preserve">And how many times a month do you work more than 10 hours a day? </t>
    </r>
    <r>
      <rPr>
        <vertAlign val="superscript"/>
        <sz val="10"/>
        <color rgb="FF444746"/>
        <rFont val="Arial"/>
        <family val="2"/>
      </rPr>
      <t>36</t>
    </r>
  </si>
  <si>
    <r>
      <t xml:space="preserve">Do you work part-time? </t>
    </r>
    <r>
      <rPr>
        <vertAlign val="superscript"/>
        <sz val="10"/>
        <color rgb="FF444746"/>
        <rFont val="Arial"/>
        <family val="2"/>
      </rPr>
      <t>37</t>
    </r>
  </si>
  <si>
    <r>
      <t xml:space="preserve">Would you like to work: More hours, Less hours, or The same number of hours? </t>
    </r>
    <r>
      <rPr>
        <vertAlign val="superscript"/>
        <sz val="10"/>
        <color rgb="FF444746"/>
        <rFont val="Arial"/>
        <family val="2"/>
      </rPr>
      <t>38</t>
    </r>
  </si>
  <si>
    <r>
      <t xml:space="preserve">Do you work: The same number of hours every day? </t>
    </r>
    <r>
      <rPr>
        <vertAlign val="superscript"/>
        <sz val="10"/>
        <color rgb="FF444746"/>
        <rFont val="Arial"/>
        <family val="2"/>
      </rPr>
      <t>39</t>
    </r>
  </si>
  <si>
    <r>
      <t xml:space="preserve">Do you work: The same number of days every week? </t>
    </r>
    <r>
      <rPr>
        <vertAlign val="superscript"/>
        <sz val="10"/>
        <color rgb="FF444746"/>
        <rFont val="Arial"/>
        <family val="2"/>
      </rPr>
      <t>40</t>
    </r>
  </si>
  <si>
    <r>
      <t xml:space="preserve">Do you work: Fixed starting and finishing times? </t>
    </r>
    <r>
      <rPr>
        <vertAlign val="superscript"/>
        <sz val="10"/>
        <color rgb="FF444746"/>
        <rFont val="Arial"/>
        <family val="2"/>
      </rPr>
      <t>41</t>
    </r>
  </si>
  <si>
    <r>
      <t xml:space="preserve">Do you work: In the daytime? </t>
    </r>
    <r>
      <rPr>
        <vertAlign val="superscript"/>
        <sz val="10"/>
        <color rgb="FF444746"/>
        <rFont val="Arial"/>
        <family val="2"/>
      </rPr>
      <t>42</t>
    </r>
  </si>
  <si>
    <r>
      <t xml:space="preserve">Do you work shifts? </t>
    </r>
    <r>
      <rPr>
        <vertAlign val="superscript"/>
        <sz val="10"/>
        <color rgb="FF444746"/>
        <rFont val="Arial"/>
        <family val="2"/>
      </rPr>
      <t>43</t>
    </r>
  </si>
  <si>
    <r>
      <t xml:space="preserve">Do you work: Split shifts, Permanent night/afternoon/morning, Alternating shifts, or Other? </t>
    </r>
    <r>
      <rPr>
        <vertAlign val="superscript"/>
        <sz val="10"/>
        <color rgb="FF444746"/>
        <rFont val="Arial"/>
        <family val="2"/>
      </rPr>
      <t>44</t>
    </r>
  </si>
  <si>
    <r>
      <t xml:space="preserve">Usually, how many times a month do your scheduled working times change? </t>
    </r>
    <r>
      <rPr>
        <vertAlign val="superscript"/>
        <sz val="10"/>
        <color rgb="FF444746"/>
        <rFont val="Arial"/>
        <family val="2"/>
      </rPr>
      <t>45</t>
    </r>
  </si>
  <si>
    <r>
      <t xml:space="preserve">Usually, how many days in advance do you know of a change? </t>
    </r>
    <r>
      <rPr>
        <vertAlign val="superscript"/>
        <sz val="10"/>
        <color rgb="FF444746"/>
        <rFont val="Arial"/>
        <family val="2"/>
      </rPr>
      <t>46</t>
    </r>
  </si>
  <si>
    <r>
      <t xml:space="preserve">In general, do your working hours fit in with your family or social commitments outside work very well, fairly well, not very well or not at all well? </t>
    </r>
    <r>
      <rPr>
        <vertAlign val="superscript"/>
        <sz val="10"/>
        <color rgb="FF444746"/>
        <rFont val="Arial"/>
        <family val="2"/>
      </rPr>
      <t>47</t>
    </r>
  </si>
  <si>
    <r>
      <t xml:space="preserve">Please tell me, does your job involve short repetitive tasks of less than: 5 seconds / 30 seconds / 1 minute / 5 minutes / 10 minutes? </t>
    </r>
    <r>
      <rPr>
        <vertAlign val="superscript"/>
        <sz val="10"/>
        <color rgb="FF444746"/>
        <rFont val="Arial"/>
        <family val="2"/>
      </rPr>
      <t>48</t>
    </r>
  </si>
  <si>
    <r>
      <t xml:space="preserve">Does your job involve: Working at very high speed? </t>
    </r>
    <r>
      <rPr>
        <vertAlign val="superscript"/>
        <sz val="10"/>
        <color rgb="FF444746"/>
        <rFont val="Arial"/>
        <family val="2"/>
      </rPr>
      <t>49</t>
    </r>
  </si>
  <si>
    <r>
      <t xml:space="preserve">Does your job involve: Working to tight deadlines? </t>
    </r>
    <r>
      <rPr>
        <vertAlign val="superscript"/>
        <sz val="10"/>
        <color rgb="FF444746"/>
        <rFont val="Arial"/>
        <family val="2"/>
      </rPr>
      <t>50</t>
    </r>
  </si>
  <si>
    <r>
      <t xml:space="preserve">Is your pace of work dependent, or not, on: The work done by colleagues? </t>
    </r>
    <r>
      <rPr>
        <vertAlign val="superscript"/>
        <sz val="10"/>
        <color rgb="FF444746"/>
        <rFont val="Arial"/>
        <family val="2"/>
      </rPr>
      <t>51</t>
    </r>
  </si>
  <si>
    <r>
      <t xml:space="preserve">Is your pace of work dependent, or not, on: Direct demands from people such as customers, passengers, pupils, patients, etc.? </t>
    </r>
    <r>
      <rPr>
        <vertAlign val="superscript"/>
        <sz val="10"/>
        <color rgb="FF444746"/>
        <rFont val="Arial"/>
        <family val="2"/>
      </rPr>
      <t>52</t>
    </r>
  </si>
  <si>
    <r>
      <t xml:space="preserve">Is your pace of work dependent, or not, on: Numerical production targets? </t>
    </r>
    <r>
      <rPr>
        <vertAlign val="superscript"/>
        <sz val="10"/>
        <color rgb="FF444746"/>
        <rFont val="Arial"/>
        <family val="2"/>
      </rPr>
      <t>53</t>
    </r>
  </si>
  <si>
    <r>
      <t xml:space="preserve">Is your pace of work dependent, or not, on: Automatic speed of a machine or movement of a product? </t>
    </r>
    <r>
      <rPr>
        <vertAlign val="superscript"/>
        <sz val="10"/>
        <color rgb="FF444746"/>
        <rFont val="Arial"/>
        <family val="2"/>
      </rPr>
      <t>54</t>
    </r>
  </si>
  <si>
    <r>
      <t xml:space="preserve">Is your pace of work dependent, or not, on: The direct control of your boss? </t>
    </r>
    <r>
      <rPr>
        <vertAlign val="superscript"/>
        <sz val="10"/>
        <color rgb="FF444746"/>
        <rFont val="Arial"/>
        <family val="2"/>
      </rPr>
      <t>55</t>
    </r>
  </si>
  <si>
    <r>
      <t xml:space="preserve">How often do you have to interrupt a task you are doing in order to take on an unforeseen task? </t>
    </r>
    <r>
      <rPr>
        <vertAlign val="superscript"/>
        <sz val="10"/>
        <color rgb="FF444746"/>
        <rFont val="Arial"/>
        <family val="2"/>
      </rPr>
      <t>56</t>
    </r>
  </si>
  <si>
    <r>
      <t xml:space="preserve">Are these interruptions mainly due to: Nature of work, bad organisation, requests from colleagues/superiors/external, machines, bad design, etc.? </t>
    </r>
    <r>
      <rPr>
        <vertAlign val="superscript"/>
        <sz val="10"/>
        <color rgb="FF444746"/>
        <rFont val="Arial"/>
        <family val="2"/>
      </rPr>
      <t>57</t>
    </r>
  </si>
  <si>
    <r>
      <t xml:space="preserve">For your work, are these interruptions: disruptive, without consequences, positive? </t>
    </r>
    <r>
      <rPr>
        <vertAlign val="superscript"/>
        <sz val="10"/>
        <color rgb="FF444746"/>
        <rFont val="Arial"/>
        <family val="2"/>
      </rPr>
      <t>58</t>
    </r>
  </si>
  <si>
    <r>
      <t xml:space="preserve">Generally, does your main paid job involve: Meeting precise quality standards? </t>
    </r>
    <r>
      <rPr>
        <vertAlign val="superscript"/>
        <sz val="10"/>
        <color rgb="FF444746"/>
        <rFont val="Arial"/>
        <family val="2"/>
      </rPr>
      <t>59</t>
    </r>
  </si>
  <si>
    <r>
      <t xml:space="preserve">Generally, does your main paid job involve: Assessing yourself the quality of your own work? </t>
    </r>
    <r>
      <rPr>
        <vertAlign val="superscript"/>
        <sz val="10"/>
        <color rgb="FF444746"/>
        <rFont val="Arial"/>
        <family val="2"/>
      </rPr>
      <t>60</t>
    </r>
  </si>
  <si>
    <r>
      <t xml:space="preserve">Generally, does your main paid job involve: Solving unforeseen problems on your own? </t>
    </r>
    <r>
      <rPr>
        <vertAlign val="superscript"/>
        <sz val="10"/>
        <color rgb="FF444746"/>
        <rFont val="Arial"/>
        <family val="2"/>
      </rPr>
      <t>61</t>
    </r>
  </si>
  <si>
    <r>
      <t xml:space="preserve">Generally, does your main paid job involve: Monotonous tasks? </t>
    </r>
    <r>
      <rPr>
        <vertAlign val="superscript"/>
        <sz val="10"/>
        <color rgb="FF444746"/>
        <rFont val="Arial"/>
        <family val="2"/>
      </rPr>
      <t>62</t>
    </r>
  </si>
  <si>
    <r>
      <t xml:space="preserve">Generally, does your main paid job involve: Complex tasks? </t>
    </r>
    <r>
      <rPr>
        <vertAlign val="superscript"/>
        <sz val="10"/>
        <color rgb="FF444746"/>
        <rFont val="Arial"/>
        <family val="2"/>
      </rPr>
      <t>63</t>
    </r>
  </si>
  <si>
    <r>
      <t xml:space="preserve">Generally, does your main paid job involve: Learning new things? </t>
    </r>
    <r>
      <rPr>
        <vertAlign val="superscript"/>
        <sz val="10"/>
        <color rgb="FF444746"/>
        <rFont val="Arial"/>
        <family val="2"/>
      </rPr>
      <t>64</t>
    </r>
  </si>
  <si>
    <r>
      <t xml:space="preserve">Are you able, or not, to choose or change: Your order of tasks / Your methods of work / Your speed or rate of work? </t>
    </r>
    <r>
      <rPr>
        <vertAlign val="superscript"/>
        <sz val="10"/>
        <color rgb="FF444746"/>
        <rFont val="Arial"/>
        <family val="2"/>
      </rPr>
      <t>65</t>
    </r>
  </si>
  <si>
    <r>
      <t xml:space="preserve">For each of the following statements, please answer yes or no: You can get assistance from colleagues if you ask for it? </t>
    </r>
    <r>
      <rPr>
        <vertAlign val="superscript"/>
        <sz val="10"/>
        <color rgb="FF444746"/>
        <rFont val="Arial"/>
        <family val="2"/>
      </rPr>
      <t>66</t>
    </r>
  </si>
  <si>
    <r>
      <t xml:space="preserve">For each of the following statements, please answer yes or no: You can take your break when you wish? </t>
    </r>
    <r>
      <rPr>
        <vertAlign val="superscript"/>
        <sz val="10"/>
        <color rgb="FF444746"/>
        <rFont val="Arial"/>
        <family val="2"/>
      </rPr>
      <t>67</t>
    </r>
  </si>
  <si>
    <r>
      <t xml:space="preserve">For each of the following statements, please answer yes or no: You are free to decide when to take holidays or days off? </t>
    </r>
    <r>
      <rPr>
        <vertAlign val="superscript"/>
        <sz val="10"/>
        <color rgb="FF444746"/>
        <rFont val="Arial"/>
        <family val="2"/>
      </rPr>
      <t>68</t>
    </r>
  </si>
  <si>
    <r>
      <t xml:space="preserve">For each of the following statements, please answer yes or no: You can influence your working hours? </t>
    </r>
    <r>
      <rPr>
        <vertAlign val="superscript"/>
        <sz val="10"/>
        <color rgb="FF444746"/>
        <rFont val="Arial"/>
        <family val="2"/>
      </rPr>
      <t>69</t>
    </r>
  </si>
  <si>
    <r>
      <t xml:space="preserve">For each of the following statements, please answer yes or no: You have enough time to get the job done? </t>
    </r>
    <r>
      <rPr>
        <vertAlign val="superscript"/>
        <sz val="10"/>
        <color rgb="FF444746"/>
        <rFont val="Arial"/>
        <family val="2"/>
      </rPr>
      <t>70</t>
    </r>
  </si>
  <si>
    <r>
      <t xml:space="preserve">For each of the following statements, please answer yes or no: You have access to a telephone for private calls? </t>
    </r>
    <r>
      <rPr>
        <vertAlign val="superscript"/>
        <sz val="10"/>
        <color rgb="FF444746"/>
        <rFont val="Arial"/>
        <family val="2"/>
      </rPr>
      <t>71</t>
    </r>
  </si>
  <si>
    <r>
      <t xml:space="preserve">In your job, do you have responsibility or not for: Production planning / Staffing / Working times and shifts? </t>
    </r>
    <r>
      <rPr>
        <vertAlign val="superscript"/>
        <sz val="10"/>
        <color rgb="FF444746"/>
        <rFont val="Arial"/>
        <family val="2"/>
      </rPr>
      <t>72</t>
    </r>
  </si>
  <si>
    <r>
      <t xml:space="preserve">Does your job involve, or not: Rotating tasks between yourself and colleagues / Doing all or part of your work in a team? </t>
    </r>
    <r>
      <rPr>
        <vertAlign val="superscript"/>
        <sz val="10"/>
        <color rgb="FF444746"/>
        <rFont val="Arial"/>
        <family val="2"/>
      </rPr>
      <t>73</t>
    </r>
  </si>
  <si>
    <r>
      <t xml:space="preserve">How well do you think your skills match the demands imposed on you by your job? </t>
    </r>
    <r>
      <rPr>
        <vertAlign val="superscript"/>
        <sz val="10"/>
        <color rgb="FF444746"/>
        <rFont val="Arial"/>
        <family val="2"/>
      </rPr>
      <t>74</t>
    </r>
  </si>
  <si>
    <r>
      <t xml:space="preserve">Over the past 12 months, have you undergone training paid for or provided by your employer... to improve your skills or not? </t>
    </r>
    <r>
      <rPr>
        <vertAlign val="superscript"/>
        <sz val="10"/>
        <color rgb="FF444746"/>
        <rFont val="Arial"/>
        <family val="2"/>
      </rPr>
      <t>75</t>
    </r>
  </si>
  <si>
    <r>
      <t xml:space="preserve">Within your workplace, are you able to discuss: Your working conditions in general / the organisation of your work when changes take place? </t>
    </r>
    <r>
      <rPr>
        <vertAlign val="superscript"/>
        <sz val="10"/>
        <color rgb="FF444746"/>
        <rFont val="Arial"/>
        <family val="2"/>
      </rPr>
      <t>76</t>
    </r>
  </si>
  <si>
    <r>
      <t xml:space="preserve">Do these exchanges of views take place: With colleagues, superiors, staff representatives, outside experts, on a regular basis, on a formal basis? </t>
    </r>
    <r>
      <rPr>
        <vertAlign val="superscript"/>
        <sz val="10"/>
        <color rgb="FF444746"/>
        <rFont val="Arial"/>
        <family val="2"/>
      </rPr>
      <t>77</t>
    </r>
  </si>
  <si>
    <r>
      <t xml:space="preserve">And, do these exchanges of views lead to improvements: At your own personal workplace / In your office or factory / In the organisation as a whole? </t>
    </r>
    <r>
      <rPr>
        <vertAlign val="superscript"/>
        <sz val="10"/>
        <color rgb="FF444746"/>
        <rFont val="Arial"/>
        <family val="2"/>
      </rPr>
      <t>78</t>
    </r>
  </si>
  <si>
    <r>
      <t xml:space="preserve">Over the past 12 months, have you, or have you not, been subjected at work to: Physical violence, Intimidation, Sexual discrimination, Unwanted sexual attention, Age discrimination, Discrimination linked to nationality/ethnicity/disability/sexual orientation? </t>
    </r>
    <r>
      <rPr>
        <vertAlign val="superscript"/>
        <sz val="10"/>
        <color rgb="FF444746"/>
        <rFont val="Arial"/>
        <family val="2"/>
      </rPr>
      <t>79</t>
    </r>
  </si>
  <si>
    <r>
      <t xml:space="preserve">In the establishment where you work, are you aware of the existence of: Physical violence, Intimidation, Discrimination (various types)? </t>
    </r>
    <r>
      <rPr>
        <vertAlign val="superscript"/>
        <sz val="10"/>
        <color rgb="FF444746"/>
        <rFont val="Arial"/>
        <family val="2"/>
      </rPr>
      <t>80</t>
    </r>
  </si>
  <si>
    <r>
      <t xml:space="preserve">Is your immediate boss a man or a woman? </t>
    </r>
    <r>
      <rPr>
        <vertAlign val="superscript"/>
        <sz val="10"/>
        <color rgb="FF444746"/>
        <rFont val="Arial"/>
        <family val="2"/>
      </rPr>
      <t>81</t>
    </r>
  </si>
  <si>
    <r>
      <t xml:space="preserve">Do you think your health or safety is at risk because of your work, or not? </t>
    </r>
    <r>
      <rPr>
        <vertAlign val="superscript"/>
        <sz val="10"/>
        <color rgb="FF444746"/>
        <rFont val="Arial"/>
        <family val="2"/>
      </rPr>
      <t>82</t>
    </r>
  </si>
  <si>
    <r>
      <t xml:space="preserve">Does your work affect your health, or not? (IF YES) How does it affect your health? (Hearing, vision, skin, backache, headaches, stomach, muscular pains, stress, fatigue, etc.) </t>
    </r>
    <r>
      <rPr>
        <vertAlign val="superscript"/>
        <sz val="10"/>
        <color rgb="FF444746"/>
        <rFont val="Arial"/>
        <family val="2"/>
      </rPr>
      <t>83</t>
    </r>
  </si>
  <si>
    <r>
      <t xml:space="preserve">In your main paid job, how many days over the past 12 months were you absent due to an accident at work? </t>
    </r>
    <r>
      <rPr>
        <vertAlign val="superscript"/>
        <sz val="10"/>
        <color rgb="FF444746"/>
        <rFont val="Arial"/>
        <family val="2"/>
      </rPr>
      <t>84</t>
    </r>
  </si>
  <si>
    <r>
      <t xml:space="preserve">And due to health problems caused by your work? </t>
    </r>
    <r>
      <rPr>
        <vertAlign val="superscript"/>
        <sz val="10"/>
        <color rgb="FF444746"/>
        <rFont val="Arial"/>
        <family val="2"/>
      </rPr>
      <t>85</t>
    </r>
  </si>
  <si>
    <r>
      <t xml:space="preserve">And due to other health problems? </t>
    </r>
    <r>
      <rPr>
        <vertAlign val="superscript"/>
        <sz val="10"/>
        <color rgb="FF444746"/>
        <rFont val="Arial"/>
        <family val="2"/>
      </rPr>
      <t>86</t>
    </r>
  </si>
  <si>
    <t>EF.11</t>
  </si>
  <si>
    <r>
      <t xml:space="preserve">How old are you? </t>
    </r>
    <r>
      <rPr>
        <vertAlign val="superscript"/>
        <sz val="10"/>
        <color rgb="FF444746"/>
        <rFont val="Arial"/>
        <family val="2"/>
      </rPr>
      <t>87</t>
    </r>
  </si>
  <si>
    <r>
      <t xml:space="preserve">Do you think you will be able to do the same job you are doing now when you are 60 years old? </t>
    </r>
    <r>
      <rPr>
        <vertAlign val="superscript"/>
        <sz val="10"/>
        <color rgb="FF444746"/>
        <rFont val="Arial"/>
        <family val="2"/>
      </rPr>
      <t>88</t>
    </r>
  </si>
  <si>
    <r>
      <t xml:space="preserve">On the whole, are you very satisfied, fairly satisfied, not very satisfied or not at all satisfied with working conditions in your main paid job? </t>
    </r>
    <r>
      <rPr>
        <vertAlign val="superscript"/>
        <sz val="10"/>
        <color rgb="FF444746"/>
        <rFont val="Arial"/>
        <family val="2"/>
      </rPr>
      <t>89</t>
    </r>
  </si>
  <si>
    <t>EF.7</t>
  </si>
  <si>
    <r>
      <t xml:space="preserve">Could you give me the letter which corresponds best to your own current situation? (Marital Status) </t>
    </r>
    <r>
      <rPr>
        <vertAlign val="superscript"/>
        <sz val="10"/>
        <color rgb="FF444746"/>
        <rFont val="Arial"/>
        <family val="2"/>
      </rPr>
      <t>90</t>
    </r>
  </si>
  <si>
    <t>EF.10</t>
  </si>
  <si>
    <r>
      <t xml:space="preserve">SEX: Male / Female </t>
    </r>
    <r>
      <rPr>
        <vertAlign val="superscript"/>
        <sz val="10"/>
        <color rgb="FF444746"/>
        <rFont val="Arial"/>
        <family val="2"/>
      </rPr>
      <t>91</t>
    </r>
  </si>
  <si>
    <t>EF.12</t>
  </si>
  <si>
    <r>
      <t xml:space="preserve">How many people live in your household, including yourself, all adults and children? </t>
    </r>
    <r>
      <rPr>
        <vertAlign val="superscript"/>
        <sz val="10"/>
        <color rgb="FF444746"/>
        <rFont val="Arial"/>
        <family val="2"/>
      </rPr>
      <t>92</t>
    </r>
  </si>
  <si>
    <t>EF.13</t>
  </si>
  <si>
    <r>
      <t xml:space="preserve">How many children under 15 are currently living at home? </t>
    </r>
    <r>
      <rPr>
        <vertAlign val="superscript"/>
        <sz val="10"/>
        <color rgb="FF444746"/>
        <rFont val="Arial"/>
        <family val="2"/>
      </rPr>
      <t>93</t>
    </r>
  </si>
  <si>
    <t>EF.13b</t>
  </si>
  <si>
    <r>
      <t xml:space="preserve">How many people in your household have a paid job? </t>
    </r>
    <r>
      <rPr>
        <vertAlign val="superscript"/>
        <sz val="10"/>
        <color rgb="FF444746"/>
        <rFont val="Arial"/>
        <family val="2"/>
      </rPr>
      <t>94</t>
    </r>
  </si>
  <si>
    <t>EF.19</t>
  </si>
  <si>
    <r>
      <t xml:space="preserve">Are you: The person mainly responsible for ordinary shopping and looking after the home / The person who contributes most to the household income? </t>
    </r>
    <r>
      <rPr>
        <vertAlign val="superscript"/>
        <sz val="10"/>
        <color rgb="FF444746"/>
        <rFont val="Arial"/>
        <family val="2"/>
      </rPr>
      <t>95</t>
    </r>
  </si>
  <si>
    <t>EF.20</t>
  </si>
  <si>
    <r>
      <t xml:space="preserve">How often are you involved in any of the following activities outside work (Voluntary, Political, Caring for children, Cooking, Housework, Caring for elderly, Training, Sports, Cultural, Leisure)? </t>
    </r>
    <r>
      <rPr>
        <vertAlign val="superscript"/>
        <sz val="10"/>
        <color rgb="FF444746"/>
        <rFont val="Arial"/>
        <family val="2"/>
      </rPr>
      <t>96</t>
    </r>
  </si>
  <si>
    <t>EF.21</t>
  </si>
  <si>
    <r>
      <t xml:space="preserve">What is on average your net monthly income from your main paid job at present? </t>
    </r>
    <r>
      <rPr>
        <vertAlign val="superscript"/>
        <sz val="10"/>
        <color rgb="FF444746"/>
        <rFont val="Arial"/>
        <family val="2"/>
      </rPr>
      <t>97</t>
    </r>
  </si>
  <si>
    <t>EF.22</t>
  </si>
  <si>
    <r>
      <t xml:space="preserve">What does your remuneration include? (Employees: Basic salary, piece rate, overtime, extra payments, profit sharing, etc.) </t>
    </r>
    <r>
      <rPr>
        <vertAlign val="superscript"/>
        <sz val="10"/>
        <color rgb="FF444746"/>
        <rFont val="Arial"/>
        <family val="2"/>
      </rPr>
      <t>98</t>
    </r>
  </si>
  <si>
    <t>EF.23</t>
  </si>
  <si>
    <r>
      <t xml:space="preserve">What does your remuneration include? (Self-employed: Income from self-employment, profit sharing, shares, etc.) </t>
    </r>
    <r>
      <rPr>
        <vertAlign val="superscript"/>
        <sz val="10"/>
        <color rgb="FF444746"/>
        <rFont val="Arial"/>
        <family val="2"/>
      </rPr>
      <t>99</t>
    </r>
  </si>
  <si>
    <t>)</t>
  </si>
  <si>
    <t>Variable</t>
  </si>
  <si>
    <t>Short</t>
  </si>
  <si>
    <t xml:space="preserve"> q33a_e</t>
  </si>
  <si>
    <t xml:space="preserve"> q29l</t>
  </si>
  <si>
    <t xml:space="preserve"> q21d</t>
  </si>
  <si>
    <t>Is it: On an unlimited permanent contract, fixed term contract, temporary agency contract, apprenticeship, or other?</t>
  </si>
  <si>
    <t>Are you working in: National or local government services, State-owned company, Another company/business, or Other?</t>
  </si>
  <si>
    <t>Are you exposed at work to: Breathing in vapours, fumes, dust, or dangerous substances such as chemicals, infectious materials, etc.?</t>
  </si>
  <si>
    <t>Are you exposed at work to: Handling or touching dangerous products or substances?</t>
  </si>
  <si>
    <t>Does your main paid job involve: Painful or tiring positions?</t>
  </si>
  <si>
    <t>Does your main paid job involve: Dealing directly with people who are not employees at your workplace such as customers, passengers, pupils, patients, etc?</t>
  </si>
  <si>
    <t>Would you say you are very well informed... about the risks resulting from the use of materials, instruments or products which you handle in your job?</t>
  </si>
  <si>
    <t>Normally, how many times a month do you work at night, say for at least 2 hours between 10.00 pm and 05.00 am?</t>
  </si>
  <si>
    <t>And how many times a month do you work in the evening, for at least 2 hours between 6pm and 10pm?</t>
  </si>
  <si>
    <t>Would you like to work: More hours, Less hours, or The same number of hours?</t>
  </si>
  <si>
    <t>Do you work: In the daytime?</t>
  </si>
  <si>
    <t>Do you work: Split shifts, Permanent night/afternoon/morning, Alternating shifts, or Other?</t>
  </si>
  <si>
    <t>Usually, how many times a month do your scheduled working times change?</t>
  </si>
  <si>
    <t>Usually, how many days in advance do you know of a change?</t>
  </si>
  <si>
    <t>In general, do your working hours fit in with your family or social commitments outside work very well, fairly well, not very well or not at all well?</t>
  </si>
  <si>
    <t>Please tell me, does your job involve short repetitive tasks of less than: 5 seconds / 30 seconds / 1 minute / 5 minutes / 10 minutes?</t>
  </si>
  <si>
    <t>Is your pace of work dependent, or not, on: The work done by colleagues?</t>
  </si>
  <si>
    <t>Is your pace of work dependent, or not, on: Direct demands from people such as customers, passengers, pupils, patients, etc.?</t>
  </si>
  <si>
    <t>Is your pace of work dependent, or not, on: Numerical production targets?</t>
  </si>
  <si>
    <t>Is your pace of work dependent, or not, on: Automatic speed of a machine or movement of a product?</t>
  </si>
  <si>
    <t>Is your pace of work dependent, or not, on: The direct control of your boss?</t>
  </si>
  <si>
    <t>Are these interruptions mainly due to: Nature of work, bad organisation, requests from colleagues/superiors/external, machines, bad design, etc.?</t>
  </si>
  <si>
    <t>For your work, are these interruptions: disruptive, without consequences, positive?</t>
  </si>
  <si>
    <t>Are you able, or not, to choose or change: Your order of tasks / Your methods of work / Your speed or rate of work?</t>
  </si>
  <si>
    <t>For each of the following statements, please answer yes or no: You can get assistance from colleagues if you ask for it?</t>
  </si>
  <si>
    <t>For each of the following statements, please answer yes or no: You can take your break when you wish?</t>
  </si>
  <si>
    <t>For each of the following statements, please answer yes or no: You are free to decide when to take holidays or days off?</t>
  </si>
  <si>
    <t>For each of the following statements, please answer yes or no: You can influence your working hours?</t>
  </si>
  <si>
    <t>For each of the following statements, please answer yes or no: You have enough time to get the job done?</t>
  </si>
  <si>
    <t>For each of the following statements, please answer yes or no: You have access to a telephone for private calls?</t>
  </si>
  <si>
    <t>In your job, do you have responsibility or not for: Production planning / Staffing / Working times and shifts?</t>
  </si>
  <si>
    <t>Does your job involve, or not: Rotating tasks between yourself and colleagues / Doing all or part of your work in a team?</t>
  </si>
  <si>
    <t>Over the past 12 months, have you undergone training paid for or provided by your employer... to improve your skills or not?</t>
  </si>
  <si>
    <t>Within your workplace, are you able to discuss: Your working conditions in general / the organisation of your work when changes take place?</t>
  </si>
  <si>
    <t>Do these exchanges of views take place: With colleagues, superiors, staff representatives, outside experts, on a regular basis, on a formal basis?</t>
  </si>
  <si>
    <t>And, do these exchanges of views lead to improvements: At your own personal workplace / In your office or factory / In the organisation as a whole?</t>
  </si>
  <si>
    <t>Over the past 12 months, have you, or have you not, been subjected at work to: Physical violence, Intimidation, Sexual discrimination, Unwanted sexual attention, Age discrimination, Discrimination linked to nationality/ethnicity/disability/sexual orientation?</t>
  </si>
  <si>
    <t>In the establishment where you work, are you aware of the existence of: Physical violence, Intimidation, Discrimination (various types)?</t>
  </si>
  <si>
    <t>Do you think your health or safety is at risk because of your work, or not?</t>
  </si>
  <si>
    <t>Does your work affect your health, or not? (IF YES) How does it affect your health? (Hearing, vision, skin, backache, headaches, stomach, muscular pains, stress, fatigue, etc.)</t>
  </si>
  <si>
    <t>In your main paid job, how many days over the past 12 months were you absent due to an accident at work?</t>
  </si>
  <si>
    <t>And due to health problems caused by your work?</t>
  </si>
  <si>
    <t>And due to other health problems?</t>
  </si>
  <si>
    <t>On the whole, are you very satisfied, fairly satisfied, not very satisfied or not at all satisfied with working conditions in your main paid job?</t>
  </si>
  <si>
    <t>Similarity</t>
  </si>
  <si>
    <t>EWCSR4</t>
  </si>
  <si>
    <t>q2aOK</t>
  </si>
  <si>
    <t>q2aOK. What is your main paid job? Please give me your job title.</t>
  </si>
  <si>
    <t>q2b</t>
  </si>
  <si>
    <t>q2b. How old were you when you stopped your full-time education?</t>
  </si>
  <si>
    <t>q3a</t>
  </si>
  <si>
    <t>q3a. Are you mainly self-employed or employed?</t>
  </si>
  <si>
    <t>(If Employed) Is it: On an unlimited permanent contract</t>
  </si>
  <si>
    <t xml:space="preserve"> temporary employment agency contract</t>
  </si>
  <si>
    <t>q3c</t>
  </si>
  <si>
    <t>q3c. What kind of employment contract do you have?</t>
  </si>
  <si>
    <t>q3d_2</t>
  </si>
  <si>
    <t>q3d_2. What is the duration of your contract (years and months)?</t>
  </si>
  <si>
    <t>q4</t>
  </si>
  <si>
    <t>q4. What is the main activity of the company or organisation where you work?</t>
  </si>
  <si>
    <t>Are you working in: Public sector</t>
  </si>
  <si>
    <t xml:space="preserve"> Private sector</t>
  </si>
  <si>
    <t xml:space="preserve"> Joint private-public organisation</t>
  </si>
  <si>
    <t xml:space="preserve"> Not for profit sector</t>
  </si>
  <si>
    <t>q5. Are you working in the public or private sector?</t>
  </si>
  <si>
    <t>q6</t>
  </si>
  <si>
    <t>q6. How many people in total work in the local unit of the establishment where you work?</t>
  </si>
  <si>
    <t>How many people work under your supervision</t>
  </si>
  <si>
    <t xml:space="preserve"> bonuses or promotion depend directly on you?</t>
  </si>
  <si>
    <t>q7. How many people work under your supervision?</t>
  </si>
  <si>
    <t>q3b_n</t>
  </si>
  <si>
    <t>Q.3.B. - How many years have you been in your present main job?</t>
  </si>
  <si>
    <t>q9a</t>
  </si>
  <si>
    <t>q9a. Besides your main paid job do you have any other paid job?</t>
  </si>
  <si>
    <t>(If Yes) Is it: Regular</t>
  </si>
  <si>
    <t xml:space="preserve"> Occasional</t>
  </si>
  <si>
    <t xml:space="preserve"> or Seasonal?</t>
  </si>
  <si>
    <t>q9b</t>
  </si>
  <si>
    <t>q9b. Is it regular</t>
  </si>
  <si>
    <t xml:space="preserve"> occasional or seasonal?</t>
  </si>
  <si>
    <t>Are you exposed at work to: Vibrations from hand tools</t>
  </si>
  <si>
    <t xml:space="preserve"> etc.?</t>
  </si>
  <si>
    <t>q10a</t>
  </si>
  <si>
    <t>q10a. Are you exposed at work to vibrations from hand tools or machinery?</t>
  </si>
  <si>
    <t>q10b</t>
  </si>
  <si>
    <t>q10b. Are you exposed at work to noise so loud that you must raise your voice to talk to people?</t>
  </si>
  <si>
    <t>q10c</t>
  </si>
  <si>
    <t>q10c. Are you exposed at work to high temperatures?</t>
  </si>
  <si>
    <t>q10d</t>
  </si>
  <si>
    <t>q10d. Are you exposed at work to low temperatures?</t>
  </si>
  <si>
    <t>Are you exposed at work to: Breathing in smoke</t>
  </si>
  <si>
    <t xml:space="preserve"> fumes (such as welding or exhaust fumes)</t>
  </si>
  <si>
    <t xml:space="preserve"> powder or dust (such as wood dust or mineral dust) etc.?</t>
  </si>
  <si>
    <t>q10e</t>
  </si>
  <si>
    <t>q10e. Are you exposed at work to breathing in smoke fumes powder or dust?</t>
  </si>
  <si>
    <t>q10f</t>
  </si>
  <si>
    <t>q10f. Are you exposed at work to breathing in vapours such as solvents and thinners?</t>
  </si>
  <si>
    <t>q10g</t>
  </si>
  <si>
    <t>q10g. Are you exposed at work to handling or being in direct contact with chemical products or substances?</t>
  </si>
  <si>
    <t>Are you exposed at work to: Radiation such as X-rays</t>
  </si>
  <si>
    <t xml:space="preserve"> laser beams?</t>
  </si>
  <si>
    <t>q10h</t>
  </si>
  <si>
    <t>q10h. Are you exposed at work to radiation such as X-rays radioactive radiation welding light or laser beams?</t>
  </si>
  <si>
    <t>q10i</t>
  </si>
  <si>
    <t>q10i. Are you exposed at work to tobacco smoke from other people?</t>
  </si>
  <si>
    <t>Are you exposed at work to: Handling or being in direct contact with materials which can be infectious</t>
  </si>
  <si>
    <t xml:space="preserve"> such as waste</t>
  </si>
  <si>
    <t xml:space="preserve"> bodily fluids</t>
  </si>
  <si>
    <t xml:space="preserve"> laboratory materials</t>
  </si>
  <si>
    <t>q10j</t>
  </si>
  <si>
    <t>q10j. Are you exposed at work to handling or being in direct contact with materials which can be infectious such as waste bodily fluids laboratory materials etc?</t>
  </si>
  <si>
    <t>q11a</t>
  </si>
  <si>
    <t>q11a. Does your main paid job involve tiring or painful positions?</t>
  </si>
  <si>
    <t>q11b</t>
  </si>
  <si>
    <t>q11b. Does your main paid job involve lifting or moving people?</t>
  </si>
  <si>
    <t>q11c</t>
  </si>
  <si>
    <t>q11c. Does your main paid job involve carrying or moving heavy loads?</t>
  </si>
  <si>
    <t>q11d</t>
  </si>
  <si>
    <t>q11d. Does your main paid job involve standing?</t>
  </si>
  <si>
    <t>q11e</t>
  </si>
  <si>
    <t>q11e. Does your main paid job involve repetitive hand or arm movements?</t>
  </si>
  <si>
    <t>Does your main paid job involve: Working with computers: PCs</t>
  </si>
  <si>
    <t xml:space="preserve"> mainframe?</t>
  </si>
  <si>
    <t>q11f</t>
  </si>
  <si>
    <t>q11f. Does your main paid job involve working with computers PCs network or mainframe?</t>
  </si>
  <si>
    <t>q11g</t>
  </si>
  <si>
    <t>q11g. Does your main paid job involve using the internet or email for professional purposes?</t>
  </si>
  <si>
    <t>q11h</t>
  </si>
  <si>
    <t>q11h. Does your main paid job involve teleworking from home with a PC?</t>
  </si>
  <si>
    <t>Does your main paid job involve: Working at home (home being your normal workplace)</t>
  </si>
  <si>
    <t xml:space="preserve"> excluding teleworking?</t>
  </si>
  <si>
    <t>q11i</t>
  </si>
  <si>
    <t>q11i. Does your main paid job involve working at home excluding teleworking?</t>
  </si>
  <si>
    <t>Does your main paid job involve: Dealing directly with people who are not employees at your workplace such as customers</t>
  </si>
  <si>
    <t xml:space="preserve"> passengers</t>
  </si>
  <si>
    <t xml:space="preserve"> pupils</t>
  </si>
  <si>
    <t xml:space="preserve"> patients</t>
  </si>
  <si>
    <t>q11j</t>
  </si>
  <si>
    <t>q11j. Does your main paid job involve dealing directly with people who are not employees at your workplace?</t>
  </si>
  <si>
    <t>q11k</t>
  </si>
  <si>
    <t>q11k. Does your main paid job involve wearing personal protective equipment?</t>
  </si>
  <si>
    <t>Regarding the health and safety risks related to the performance of your job</t>
  </si>
  <si>
    <t xml:space="preserve"> how well informed would you say you are?</t>
  </si>
  <si>
    <t>q12</t>
  </si>
  <si>
    <t>q12. Regarding the health and safety risks related to the performance of your job how well informed would you say you are?</t>
  </si>
  <si>
    <t>How many hours do you usually work per week</t>
  </si>
  <si>
    <t xml:space="preserve"> in your main paid job?</t>
  </si>
  <si>
    <t>q8a</t>
  </si>
  <si>
    <t>q8a. How many hours do you usually work per week in your main paid job?</t>
  </si>
  <si>
    <t>q8b</t>
  </si>
  <si>
    <t>q8b. How many days per week do you usually work in your main paid job?</t>
  </si>
  <si>
    <t>In total</t>
  </si>
  <si>
    <t xml:space="preserve"> how many minutes per day do you normally spend travelling from home to work and back?</t>
  </si>
  <si>
    <t>q9d</t>
  </si>
  <si>
    <t>q9d. In total how many minutes per day do you normally spend travelling from home to work and back?</t>
  </si>
  <si>
    <t>Normally</t>
  </si>
  <si>
    <t xml:space="preserve"> how many times a month do you work at night</t>
  </si>
  <si>
    <t xml:space="preserve"> for at least 2 hours between 10.00 pm and 05.00 am?</t>
  </si>
  <si>
    <t>q10a_1</t>
  </si>
  <si>
    <t>q10a_1. Normally how many times a month do you work at night for at least 2 hours between 22:00 and 05:00?</t>
  </si>
  <si>
    <t>And how many times a month do you work in the evening</t>
  </si>
  <si>
    <t xml:space="preserve"> for at least 2 hours between 6.00 pm and 10.00 pm?</t>
  </si>
  <si>
    <t>q10b_1</t>
  </si>
  <si>
    <t>q10b_1. And how many times a month do you work in the evening for at least 2 hours between 18:00 and 22:00?</t>
  </si>
  <si>
    <t>q10c_1</t>
  </si>
  <si>
    <t>q10c_1. And how many times a month do you work on Sundays?</t>
  </si>
  <si>
    <t>q10d_1</t>
  </si>
  <si>
    <t>q10d_1. And how many times a month do you work on Saturdays?</t>
  </si>
  <si>
    <t>q10e_1</t>
  </si>
  <si>
    <t>q10e_1. And how many times a month do you work more than 10 hours a day?</t>
  </si>
  <si>
    <t>q11_1</t>
  </si>
  <si>
    <t>q11_1. Do you work part-time?</t>
  </si>
  <si>
    <t>(If Part-time) Would you like to work: More hours</t>
  </si>
  <si>
    <t xml:space="preserve"> Less hours</t>
  </si>
  <si>
    <t xml:space="preserve"> or The same number of hours?</t>
  </si>
  <si>
    <t>q11_2</t>
  </si>
  <si>
    <t>q11_2. Would you like to work more hours less hours or the same number of hours?</t>
  </si>
  <si>
    <t>q16a_c. Do you work the same number of hours every week?</t>
  </si>
  <si>
    <t>q16a_d. Do you work fixed starting and finishing times?</t>
  </si>
  <si>
    <t>q16a_e. Do you work in shifts?</t>
  </si>
  <si>
    <t>(If Shifts) Do you work: Split shifts</t>
  </si>
  <si>
    <t xml:space="preserve"> Permanent (night/afternoon/morning)</t>
  </si>
  <si>
    <t xml:space="preserve"> Alternating</t>
  </si>
  <si>
    <t>q16a_f. If you work in shifts is it split shifts permanent night afternoon morning alternating or other?</t>
  </si>
  <si>
    <t>q22a. How often do you have to interrupt a task you are doing in order to take on an unforeseen task?</t>
  </si>
  <si>
    <t>(If interruptions occur) For your work</t>
  </si>
  <si>
    <t xml:space="preserve"> are these interruptions: Disruptive</t>
  </si>
  <si>
    <t xml:space="preserve"> Without consequences</t>
  </si>
  <si>
    <t xml:space="preserve"> or Positive?</t>
  </si>
  <si>
    <t>q22b. For your work are these interruptions disruptive without consequences or positive?</t>
  </si>
  <si>
    <t>Please tell me</t>
  </si>
  <si>
    <t xml:space="preserve"> does your job involve short repetitive tasks of less than 1 minute?</t>
  </si>
  <si>
    <t>q20a_a</t>
  </si>
  <si>
    <t>q20a_a. Does your job involve short repetitive tasks of less than 1 minute?</t>
  </si>
  <si>
    <t>q20a_b</t>
  </si>
  <si>
    <t>q20a_b. If you do have to repeat the same task do you repeat the same movements?</t>
  </si>
  <si>
    <t>On the whole</t>
  </si>
  <si>
    <t xml:space="preserve"> is your pace of work dependent on: The work done by colleagues?</t>
  </si>
  <si>
    <t>q21a. Is your pace of work dependent on the work done by colleagues?</t>
  </si>
  <si>
    <t xml:space="preserve"> is your pace of work dependent on: Direct demands from people such as customers</t>
  </si>
  <si>
    <t>q21b. Is your pace of work dependent on direct demands from people such as customers passengers pupils patients etc?</t>
  </si>
  <si>
    <t xml:space="preserve"> is your pace of work dependent on: Numerical production targets or performance targets?</t>
  </si>
  <si>
    <t>q21c. Is your pace of work dependent on numerical production or performance targets?</t>
  </si>
  <si>
    <t xml:space="preserve"> is your pace of work dependent on: Automatic speed of a machine or movement of a product?</t>
  </si>
  <si>
    <t>q21d. Is your pace of work dependent on the automatic speed of a machine or movement of a product?</t>
  </si>
  <si>
    <t xml:space="preserve"> is your pace of work dependent on: The direct control of your boss?</t>
  </si>
  <si>
    <t>q21e. Is your pace of work dependent on the direct control of your boss?</t>
  </si>
  <si>
    <t>Generally</t>
  </si>
  <si>
    <t xml:space="preserve"> does your main paid job involve: Meeting precise quality standards?</t>
  </si>
  <si>
    <t>q23a. Generally does your main paid job involve meeting precise quality standards?</t>
  </si>
  <si>
    <t xml:space="preserve"> does your main paid job involve: Assessing yourself the quality of your own work?</t>
  </si>
  <si>
    <t>q23b. Generally does your main paid job involve assessing yourself the quality of your own work?</t>
  </si>
  <si>
    <t xml:space="preserve"> does your main paid job involve: Solving unforeseen problems on your own?</t>
  </si>
  <si>
    <t>q23c. Generally does your main paid job involve solving unforeseen problems on your own?</t>
  </si>
  <si>
    <t xml:space="preserve"> does your main paid job involve: Monotonous tasks?</t>
  </si>
  <si>
    <t>q23d. Generally does your main paid job involve monotonous tasks?</t>
  </si>
  <si>
    <t xml:space="preserve"> does your main paid job involve: Complex tasks?</t>
  </si>
  <si>
    <t>q23e. Generally does your main paid job involve complex tasks?</t>
  </si>
  <si>
    <t xml:space="preserve"> does your main paid job involve: Learning new things?</t>
  </si>
  <si>
    <t>q23f. Generally does your main paid job involve learning new things?</t>
  </si>
  <si>
    <t>q24a</t>
  </si>
  <si>
    <t>q24a. Are you able to choose or change your order of tasks?</t>
  </si>
  <si>
    <t>q24b</t>
  </si>
  <si>
    <t>q24b. Are you able to choose or change your methods of work?</t>
  </si>
  <si>
    <t>q24c</t>
  </si>
  <si>
    <t>q24c. Are you able to choose or change your speed or rate of work?</t>
  </si>
  <si>
    <t>You can get assistance from colleagues if you ask for it?</t>
  </si>
  <si>
    <t>q25a. You can get assistance from colleagues if you ask for it?</t>
  </si>
  <si>
    <t>You can take a break when you wish?</t>
  </si>
  <si>
    <t>q25b. You can take a break when you wish?</t>
  </si>
  <si>
    <t>You are free to decide when to take holidays or days off?</t>
  </si>
  <si>
    <t>q25c. You are free to decide when to take holidays or days off?</t>
  </si>
  <si>
    <t>You can influence your working hours?</t>
  </si>
  <si>
    <t>q25d. You can influence your working hours?</t>
  </si>
  <si>
    <t>You have enough time to get the job done?</t>
  </si>
  <si>
    <t>q25e. You have enough time to get the job done?</t>
  </si>
  <si>
    <t>You know what is expected of you at work?</t>
  </si>
  <si>
    <t>q25f. You know what is expected of you at work?</t>
  </si>
  <si>
    <t>Your job requires that you hide your feelings?</t>
  </si>
  <si>
    <t>q25g</t>
  </si>
  <si>
    <t>q25g. Your job requires that you hide your feelings?</t>
  </si>
  <si>
    <t>You have access to a telephone for private calls?</t>
  </si>
  <si>
    <t>q25h</t>
  </si>
  <si>
    <t>q25h. You have access to a telephone for private calls?</t>
  </si>
  <si>
    <t>q25</t>
  </si>
  <si>
    <t>q25. How well do you think your skills match the demands imposed on you by your job?</t>
  </si>
  <si>
    <t>Over the past 12 months</t>
  </si>
  <si>
    <t xml:space="preserve"> have you undergone training paid for or provided by your employer... to improve your skills?</t>
  </si>
  <si>
    <t>q26</t>
  </si>
  <si>
    <t>q26. Over the past 12 months have you undergone training paid for or provided by your employer to improve your skills?</t>
  </si>
  <si>
    <t xml:space="preserve"> have you</t>
  </si>
  <si>
    <t xml:space="preserve"> or not: Undergone any other training (paid for by yourself)?</t>
  </si>
  <si>
    <t>q27. Over the past 12 months have you undergone any other training paid for by yourself?</t>
  </si>
  <si>
    <t xml:space="preserve"> or not: Learned new things on the job (learning by doing)?</t>
  </si>
  <si>
    <t>q28. Over the past 12 months have you learned new things on the job learning by doing?</t>
  </si>
  <si>
    <t>Within your workplace</t>
  </si>
  <si>
    <t xml:space="preserve"> are you able to discuss: Your working conditions in general?</t>
  </si>
  <si>
    <t>q29_1</t>
  </si>
  <si>
    <t>q29_1. Within your workplace are you able to discuss your working conditions in general?</t>
  </si>
  <si>
    <t xml:space="preserve"> are you able to discuss: The organisation of your work when changes take place?</t>
  </si>
  <si>
    <t>q29_2</t>
  </si>
  <si>
    <t>q29_2. Within your workplace are you able to discuss the organisation of your work when changes take place?</t>
  </si>
  <si>
    <t>In general</t>
  </si>
  <si>
    <t xml:space="preserve"> do your working hours fit in with your family or social commitments outside work?</t>
  </si>
  <si>
    <t>q30. In general do your working hours fit in with your family or social commitments outside work?</t>
  </si>
  <si>
    <t>q29a. Over the past 12 months have you been subjected to physical violence from people from your workplace?</t>
  </si>
  <si>
    <t>q29b. Over the past 12 months have you been subjected to physical violence from other people?</t>
  </si>
  <si>
    <t>q29c. Over the past 12 months have you been subjected to threats of physical violence?</t>
  </si>
  <si>
    <t>q29d</t>
  </si>
  <si>
    <t>q29d. Over the past 12 months have you been subjected to intimidation bullying or mobbing?</t>
  </si>
  <si>
    <t>q29e</t>
  </si>
  <si>
    <t>q29e. Over the past 12 months have you been subjected to sexual discrimination?</t>
  </si>
  <si>
    <t>q29f</t>
  </si>
  <si>
    <t>q29f. Over the past 12 months have you been subjected to unwanted sexual attention?</t>
  </si>
  <si>
    <t>q29g</t>
  </si>
  <si>
    <t>q29g. Over the past 12 months have you been subjected to age discrimination?</t>
  </si>
  <si>
    <t>q29h</t>
  </si>
  <si>
    <t>q29h. Over the past 12 months have you been subjected to discrimination linked to nationality?</t>
  </si>
  <si>
    <t>q29i</t>
  </si>
  <si>
    <t>q29i. Over the past 12 months have you been subjected to discrimination linked to ethnic background?</t>
  </si>
  <si>
    <t>q29j</t>
  </si>
  <si>
    <t>q29j. Over the past 12 months have you been subjected to discrimination linked to religion?</t>
  </si>
  <si>
    <t>q29k</t>
  </si>
  <si>
    <t>q29k. Over the past 12 months have you been subjected to discrimination linked to disability?</t>
  </si>
  <si>
    <t>q29l</t>
  </si>
  <si>
    <t>q29l. Have you personally been subjected at work to discrimination linked to sexual orientation?</t>
  </si>
  <si>
    <t>q32. Do you think your health or safety is at risk because of your work?</t>
  </si>
  <si>
    <t>q33a</t>
  </si>
  <si>
    <t>q33a. Does your work affect your health hearing problems?</t>
  </si>
  <si>
    <t>q33b</t>
  </si>
  <si>
    <t>q33b. Does your work affect your health problems with your vision?</t>
  </si>
  <si>
    <t>q33c</t>
  </si>
  <si>
    <t>q33c. Does your work affect your health skin problems?</t>
  </si>
  <si>
    <t>q33d</t>
  </si>
  <si>
    <t>q33d. Does your work affect your health backache?</t>
  </si>
  <si>
    <t>q33e</t>
  </si>
  <si>
    <t>q33e. Does your work affect your health headaches?</t>
  </si>
  <si>
    <t>q33f</t>
  </si>
  <si>
    <t>q33f. Does your work affect your health stomach ache?</t>
  </si>
  <si>
    <t>Does your work affect your health? (IF YES) Muscular pains in shoulders</t>
  </si>
  <si>
    <t xml:space="preserve"> neck and/or upper limbs?</t>
  </si>
  <si>
    <t>q33g</t>
  </si>
  <si>
    <t>q33g. Does your work affect your health muscular pains in shoulders neck and or upper limbs?</t>
  </si>
  <si>
    <t>q33h</t>
  </si>
  <si>
    <t>q33h. Does your work affect your health muscular pains in lower limbs?</t>
  </si>
  <si>
    <t>q33i</t>
  </si>
  <si>
    <t>q33i. Does your work affect your health respiratory difficulties?</t>
  </si>
  <si>
    <t>q33j</t>
  </si>
  <si>
    <t>q33j. Does your work affect your health heart disease?</t>
  </si>
  <si>
    <t>q33k</t>
  </si>
  <si>
    <t>q33k. Does your work affect your health injury accident?</t>
  </si>
  <si>
    <t>q33l</t>
  </si>
  <si>
    <t>q33l. Does your work affect your health stress?</t>
  </si>
  <si>
    <t>q33m</t>
  </si>
  <si>
    <t>q33m. Does your work affect your health overall fatigue?</t>
  </si>
  <si>
    <t>q33n</t>
  </si>
  <si>
    <t>q33n. Does your work affect your health sleeping problems?</t>
  </si>
  <si>
    <t>q33o</t>
  </si>
  <si>
    <t>q33o. Does your work affect your health allergies?</t>
  </si>
  <si>
    <t>q33p</t>
  </si>
  <si>
    <t>q33p. Does your work affect your health anxiety?</t>
  </si>
  <si>
    <t>q33q</t>
  </si>
  <si>
    <t>q33q. Does your work affect your health irritability?</t>
  </si>
  <si>
    <t>q33r</t>
  </si>
  <si>
    <t>q33r. Does your work affect your health other?</t>
  </si>
  <si>
    <t>In your main paid job</t>
  </si>
  <si>
    <t xml:space="preserve"> how many days over the past 12 months were you absent due to: An accident at work?</t>
  </si>
  <si>
    <t>q34a. In your main paid job how many days over the past 12 months were you absent due to an accident at work?</t>
  </si>
  <si>
    <t xml:space="preserve"> how many days over the past 12 months were you absent due to: Health problems caused by your work?</t>
  </si>
  <si>
    <t>q34b. In your main paid job how many days over the past 12 months were you absent due to health problems caused by your work?</t>
  </si>
  <si>
    <t xml:space="preserve"> how many days over the past 12 months were you absent due to: Other health problems?</t>
  </si>
  <si>
    <t>q34c. In your main paid job how many days over the past 12 months were you absent due to other health problems?</t>
  </si>
  <si>
    <t>q34d_1</t>
  </si>
  <si>
    <t>q34d_1. Over the past 12 months did you work when you were sick?</t>
  </si>
  <si>
    <t xml:space="preserve"> are you very satisfied</t>
  </si>
  <si>
    <t xml:space="preserve"> satisfied</t>
  </si>
  <si>
    <t xml:space="preserve"> not very satisfied or not at all satisfied with working conditions in your main paid job?</t>
  </si>
  <si>
    <t>q34e_1</t>
  </si>
  <si>
    <t>q34e_1. On the whole are you very satisfied satisfied not very satisfied or not at all satisfied with working conditions in your main paid job?</t>
  </si>
  <si>
    <t>q35. Do you think you will be able to do the same job you are doing now when you are 60 years old?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</si>
</sst>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vertAlign val="superscript"/>
      <sz val="10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2C94-1712-4F55-9196-7AB7DAB5FF08}">
  <dimension ref="A1:F88"/>
  <sheetViews>
    <sheetView topLeftCell="A7" workbookViewId="0">
      <selection activeCell="B15" sqref="B15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  <row r="5" spans="1:5" x14ac:dyDescent="0.3">
      <c r="A5" t="s">
        <v>4</v>
      </c>
      <c r="B5" t="s">
        <v>5</v>
      </c>
      <c r="C5" t="s">
        <v>6</v>
      </c>
    </row>
    <row r="6" spans="1:5" x14ac:dyDescent="0.3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 x14ac:dyDescent="0.3">
      <c r="A7" t="s">
        <v>12</v>
      </c>
    </row>
    <row r="8" spans="1:5" x14ac:dyDescent="0.3">
      <c r="A8" t="s">
        <v>13</v>
      </c>
    </row>
    <row r="9" spans="1:5" x14ac:dyDescent="0.3">
      <c r="A9" t="s">
        <v>14</v>
      </c>
      <c r="B9" t="s">
        <v>15</v>
      </c>
      <c r="C9" t="s">
        <v>16</v>
      </c>
      <c r="D9" t="s">
        <v>6</v>
      </c>
    </row>
    <row r="10" spans="1:5" x14ac:dyDescent="0.3">
      <c r="A10" t="s">
        <v>17</v>
      </c>
    </row>
    <row r="11" spans="1:5" x14ac:dyDescent="0.3">
      <c r="A11" t="s">
        <v>18</v>
      </c>
      <c r="B11" t="s">
        <v>19</v>
      </c>
      <c r="C11" t="s">
        <v>20</v>
      </c>
    </row>
    <row r="12" spans="1:5" x14ac:dyDescent="0.3">
      <c r="A12" t="s">
        <v>21</v>
      </c>
      <c r="B12" t="s">
        <v>22</v>
      </c>
    </row>
    <row r="13" spans="1:5" x14ac:dyDescent="0.3">
      <c r="A13" t="s">
        <v>23</v>
      </c>
    </row>
    <row r="14" spans="1:5" x14ac:dyDescent="0.3">
      <c r="A14" t="s">
        <v>24</v>
      </c>
      <c r="B14" t="s">
        <v>25</v>
      </c>
      <c r="C14" t="s">
        <v>26</v>
      </c>
    </row>
    <row r="15" spans="1:5" x14ac:dyDescent="0.3">
      <c r="A15" t="s">
        <v>27</v>
      </c>
    </row>
    <row r="16" spans="1:5" x14ac:dyDescent="0.3">
      <c r="A16" t="s">
        <v>28</v>
      </c>
    </row>
    <row r="17" spans="1:6" x14ac:dyDescent="0.3">
      <c r="A17" t="s">
        <v>29</v>
      </c>
    </row>
    <row r="18" spans="1:6" x14ac:dyDescent="0.3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</row>
    <row r="19" spans="1:6" x14ac:dyDescent="0.3">
      <c r="A19" t="s">
        <v>36</v>
      </c>
    </row>
    <row r="20" spans="1:6" x14ac:dyDescent="0.3">
      <c r="A20" t="s">
        <v>37</v>
      </c>
      <c r="B20" t="s">
        <v>38</v>
      </c>
      <c r="C20" t="s">
        <v>39</v>
      </c>
      <c r="D20" t="s">
        <v>40</v>
      </c>
    </row>
    <row r="21" spans="1:6" x14ac:dyDescent="0.3">
      <c r="A21" t="s">
        <v>41</v>
      </c>
    </row>
    <row r="22" spans="1:6" x14ac:dyDescent="0.3">
      <c r="A22" t="s">
        <v>42</v>
      </c>
    </row>
    <row r="23" spans="1:6" x14ac:dyDescent="0.3">
      <c r="A23" t="s">
        <v>43</v>
      </c>
    </row>
    <row r="24" spans="1:6" x14ac:dyDescent="0.3">
      <c r="A24" t="s">
        <v>44</v>
      </c>
      <c r="B24" t="s">
        <v>45</v>
      </c>
      <c r="C24" t="s">
        <v>46</v>
      </c>
    </row>
    <row r="25" spans="1:6" x14ac:dyDescent="0.3">
      <c r="A25" t="s">
        <v>47</v>
      </c>
    </row>
    <row r="26" spans="1:6" x14ac:dyDescent="0.3">
      <c r="A26" t="s">
        <v>48</v>
      </c>
      <c r="B26" t="s">
        <v>49</v>
      </c>
    </row>
    <row r="27" spans="1:6" x14ac:dyDescent="0.3">
      <c r="A27" t="s">
        <v>50</v>
      </c>
    </row>
    <row r="28" spans="1:6" x14ac:dyDescent="0.3">
      <c r="A28" t="s">
        <v>51</v>
      </c>
    </row>
    <row r="29" spans="1:6" x14ac:dyDescent="0.3">
      <c r="A29" t="s">
        <v>52</v>
      </c>
    </row>
    <row r="30" spans="1:6" x14ac:dyDescent="0.3">
      <c r="A30" t="s">
        <v>53</v>
      </c>
      <c r="B30" t="s">
        <v>54</v>
      </c>
    </row>
    <row r="31" spans="1:6" x14ac:dyDescent="0.3">
      <c r="A31" t="s">
        <v>55</v>
      </c>
      <c r="B31" t="s">
        <v>56</v>
      </c>
    </row>
    <row r="32" spans="1:6" x14ac:dyDescent="0.3">
      <c r="A32" t="s">
        <v>57</v>
      </c>
      <c r="B32" t="s">
        <v>58</v>
      </c>
    </row>
    <row r="33" spans="1:1" x14ac:dyDescent="0.3">
      <c r="A33" t="s">
        <v>59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62</v>
      </c>
    </row>
    <row r="37" spans="1:1" x14ac:dyDescent="0.3">
      <c r="A37" t="s">
        <v>63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67</v>
      </c>
    </row>
    <row r="42" spans="1:1" x14ac:dyDescent="0.3">
      <c r="A42" t="s">
        <v>68</v>
      </c>
    </row>
    <row r="43" spans="1:1" x14ac:dyDescent="0.3">
      <c r="A43" t="s">
        <v>69</v>
      </c>
    </row>
    <row r="44" spans="1:1" x14ac:dyDescent="0.3">
      <c r="A44" t="s">
        <v>70</v>
      </c>
    </row>
    <row r="45" spans="1:1" x14ac:dyDescent="0.3">
      <c r="A45" t="s">
        <v>71</v>
      </c>
    </row>
    <row r="46" spans="1:1" x14ac:dyDescent="0.3">
      <c r="A46" t="s">
        <v>72</v>
      </c>
    </row>
    <row r="47" spans="1:1" x14ac:dyDescent="0.3">
      <c r="A47" t="s">
        <v>73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  <row r="52" spans="1:1" x14ac:dyDescent="0.3">
      <c r="A52" t="s">
        <v>78</v>
      </c>
    </row>
    <row r="53" spans="1:1" x14ac:dyDescent="0.3">
      <c r="A53" t="s">
        <v>79</v>
      </c>
    </row>
    <row r="54" spans="1:1" x14ac:dyDescent="0.3">
      <c r="A54" t="s">
        <v>80</v>
      </c>
    </row>
    <row r="55" spans="1:1" x14ac:dyDescent="0.3">
      <c r="A55" t="s">
        <v>81</v>
      </c>
    </row>
    <row r="56" spans="1:1" x14ac:dyDescent="0.3">
      <c r="A56" t="s">
        <v>82</v>
      </c>
    </row>
    <row r="57" spans="1:1" x14ac:dyDescent="0.3">
      <c r="A57" t="s">
        <v>83</v>
      </c>
    </row>
    <row r="58" spans="1:1" x14ac:dyDescent="0.3">
      <c r="A58" t="s">
        <v>84</v>
      </c>
    </row>
    <row r="59" spans="1:1" x14ac:dyDescent="0.3">
      <c r="A59" t="s">
        <v>85</v>
      </c>
    </row>
    <row r="60" spans="1:1" x14ac:dyDescent="0.3">
      <c r="A60" t="s">
        <v>86</v>
      </c>
    </row>
    <row r="61" spans="1:1" x14ac:dyDescent="0.3">
      <c r="A61" t="s">
        <v>87</v>
      </c>
    </row>
    <row r="62" spans="1:1" x14ac:dyDescent="0.3">
      <c r="A62" t="s">
        <v>88</v>
      </c>
    </row>
    <row r="63" spans="1:1" x14ac:dyDescent="0.3">
      <c r="A63" t="s">
        <v>89</v>
      </c>
    </row>
    <row r="64" spans="1:1" x14ac:dyDescent="0.3">
      <c r="A64" t="s">
        <v>90</v>
      </c>
    </row>
    <row r="65" spans="1:1" x14ac:dyDescent="0.3">
      <c r="A65" t="s">
        <v>91</v>
      </c>
    </row>
    <row r="66" spans="1:1" x14ac:dyDescent="0.3">
      <c r="A66" t="s">
        <v>92</v>
      </c>
    </row>
    <row r="67" spans="1:1" x14ac:dyDescent="0.3">
      <c r="A67" t="s">
        <v>93</v>
      </c>
    </row>
    <row r="68" spans="1:1" x14ac:dyDescent="0.3">
      <c r="A68" t="s">
        <v>94</v>
      </c>
    </row>
    <row r="69" spans="1:1" x14ac:dyDescent="0.3">
      <c r="A69" t="s">
        <v>95</v>
      </c>
    </row>
    <row r="70" spans="1:1" x14ac:dyDescent="0.3">
      <c r="A70" t="s">
        <v>96</v>
      </c>
    </row>
    <row r="71" spans="1:1" x14ac:dyDescent="0.3">
      <c r="A71" t="s">
        <v>97</v>
      </c>
    </row>
    <row r="72" spans="1:1" x14ac:dyDescent="0.3">
      <c r="A72" t="s">
        <v>98</v>
      </c>
    </row>
    <row r="73" spans="1:1" x14ac:dyDescent="0.3">
      <c r="A73" t="s">
        <v>99</v>
      </c>
    </row>
    <row r="74" spans="1:1" x14ac:dyDescent="0.3">
      <c r="A74" t="s">
        <v>100</v>
      </c>
    </row>
    <row r="75" spans="1:1" x14ac:dyDescent="0.3">
      <c r="A75" t="s">
        <v>101</v>
      </c>
    </row>
    <row r="76" spans="1:1" x14ac:dyDescent="0.3">
      <c r="A76" t="s">
        <v>102</v>
      </c>
    </row>
    <row r="77" spans="1:1" x14ac:dyDescent="0.3">
      <c r="A77" t="s">
        <v>103</v>
      </c>
    </row>
    <row r="78" spans="1:1" x14ac:dyDescent="0.3">
      <c r="A78" t="s">
        <v>104</v>
      </c>
    </row>
    <row r="79" spans="1:1" x14ac:dyDescent="0.3">
      <c r="A79" t="s">
        <v>105</v>
      </c>
    </row>
    <row r="80" spans="1:1" x14ac:dyDescent="0.3">
      <c r="A80" t="s">
        <v>106</v>
      </c>
    </row>
    <row r="81" spans="1:1" x14ac:dyDescent="0.3">
      <c r="A81" t="s">
        <v>107</v>
      </c>
    </row>
    <row r="82" spans="1:1" x14ac:dyDescent="0.3">
      <c r="A82" t="s">
        <v>108</v>
      </c>
    </row>
    <row r="83" spans="1:1" x14ac:dyDescent="0.3">
      <c r="A83" t="s">
        <v>109</v>
      </c>
    </row>
    <row r="84" spans="1:1" x14ac:dyDescent="0.3">
      <c r="A84" t="s">
        <v>110</v>
      </c>
    </row>
    <row r="85" spans="1:1" x14ac:dyDescent="0.3">
      <c r="A85" t="s">
        <v>111</v>
      </c>
    </row>
    <row r="86" spans="1:1" x14ac:dyDescent="0.3">
      <c r="A86" t="s">
        <v>112</v>
      </c>
    </row>
    <row r="87" spans="1:1" x14ac:dyDescent="0.3">
      <c r="A87" t="s">
        <v>113</v>
      </c>
    </row>
    <row r="88" spans="1:1" x14ac:dyDescent="0.3">
      <c r="A88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790A-D34D-46F9-B874-83BE3D28C993}">
  <dimension ref="A1:C160"/>
  <sheetViews>
    <sheetView workbookViewId="0">
      <selection activeCell="D10" sqref="D10"/>
    </sheetView>
  </sheetViews>
  <sheetFormatPr defaultRowHeight="14.4" x14ac:dyDescent="0.3"/>
  <sheetData>
    <row r="1" spans="1:3" x14ac:dyDescent="0.3">
      <c r="A1" t="s">
        <v>115</v>
      </c>
    </row>
    <row r="2" spans="1:3" x14ac:dyDescent="0.3">
      <c r="A2" t="s">
        <v>116</v>
      </c>
    </row>
    <row r="3" spans="1:3" x14ac:dyDescent="0.3">
      <c r="A3" t="s">
        <v>117</v>
      </c>
    </row>
    <row r="4" spans="1:3" x14ac:dyDescent="0.3">
      <c r="A4" t="s">
        <v>118</v>
      </c>
      <c r="B4" t="s">
        <v>5</v>
      </c>
      <c r="C4" t="s">
        <v>119</v>
      </c>
    </row>
    <row r="6" spans="1:3" x14ac:dyDescent="0.3">
      <c r="A6" t="s">
        <v>120</v>
      </c>
    </row>
    <row r="7" spans="1:3" x14ac:dyDescent="0.3">
      <c r="A7" t="s">
        <v>121</v>
      </c>
      <c r="B7" t="s">
        <v>122</v>
      </c>
    </row>
    <row r="8" spans="1:3" x14ac:dyDescent="0.3">
      <c r="A8" t="s">
        <v>123</v>
      </c>
    </row>
    <row r="9" spans="1:3" x14ac:dyDescent="0.3">
      <c r="A9" t="s">
        <v>124</v>
      </c>
    </row>
    <row r="10" spans="1:3" x14ac:dyDescent="0.3">
      <c r="A10" t="s">
        <v>125</v>
      </c>
    </row>
    <row r="11" spans="1:3" x14ac:dyDescent="0.3">
      <c r="A11" t="s">
        <v>126</v>
      </c>
    </row>
    <row r="12" spans="1:3" x14ac:dyDescent="0.3">
      <c r="A12" t="s">
        <v>127</v>
      </c>
    </row>
    <row r="13" spans="1:3" x14ac:dyDescent="0.3">
      <c r="A13" t="s">
        <v>128</v>
      </c>
    </row>
    <row r="15" spans="1:3" x14ac:dyDescent="0.3">
      <c r="A15" t="s">
        <v>129</v>
      </c>
      <c r="B15" t="s">
        <v>130</v>
      </c>
    </row>
    <row r="16" spans="1:3" x14ac:dyDescent="0.3">
      <c r="A16" t="s">
        <v>131</v>
      </c>
      <c r="B16" t="s">
        <v>132</v>
      </c>
    </row>
    <row r="17" spans="1:3" x14ac:dyDescent="0.3">
      <c r="A17" t="s">
        <v>133</v>
      </c>
    </row>
    <row r="19" spans="1:3" x14ac:dyDescent="0.3">
      <c r="A19" t="s">
        <v>134</v>
      </c>
    </row>
    <row r="20" spans="1:3" x14ac:dyDescent="0.3">
      <c r="A20" t="s">
        <v>135</v>
      </c>
    </row>
    <row r="21" spans="1:3" x14ac:dyDescent="0.3">
      <c r="A21" t="s">
        <v>136</v>
      </c>
    </row>
    <row r="22" spans="1:3" x14ac:dyDescent="0.3">
      <c r="A22" t="s">
        <v>137</v>
      </c>
    </row>
    <row r="23" spans="1:3" x14ac:dyDescent="0.3">
      <c r="A23" t="s">
        <v>138</v>
      </c>
      <c r="B23" t="s">
        <v>139</v>
      </c>
    </row>
    <row r="24" spans="1:3" x14ac:dyDescent="0.3">
      <c r="A24" t="s">
        <v>140</v>
      </c>
      <c r="B24" t="s">
        <v>141</v>
      </c>
    </row>
    <row r="25" spans="1:3" x14ac:dyDescent="0.3">
      <c r="A25" t="s">
        <v>142</v>
      </c>
    </row>
    <row r="26" spans="1:3" x14ac:dyDescent="0.3">
      <c r="A26" t="s">
        <v>143</v>
      </c>
      <c r="B26" t="s">
        <v>39</v>
      </c>
      <c r="C26" t="s">
        <v>144</v>
      </c>
    </row>
    <row r="27" spans="1:3" x14ac:dyDescent="0.3">
      <c r="A27" t="s">
        <v>145</v>
      </c>
    </row>
    <row r="28" spans="1:3" x14ac:dyDescent="0.3">
      <c r="A28" t="s">
        <v>146</v>
      </c>
    </row>
    <row r="30" spans="1:3" x14ac:dyDescent="0.3">
      <c r="A30" t="s">
        <v>147</v>
      </c>
    </row>
    <row r="31" spans="1:3" x14ac:dyDescent="0.3">
      <c r="A31" t="s">
        <v>148</v>
      </c>
    </row>
    <row r="32" spans="1:3" x14ac:dyDescent="0.3">
      <c r="A32" t="s">
        <v>149</v>
      </c>
    </row>
    <row r="33" spans="1:1" x14ac:dyDescent="0.3">
      <c r="A33" t="s">
        <v>150</v>
      </c>
    </row>
    <row r="34" spans="1:1" x14ac:dyDescent="0.3">
      <c r="A34" t="s">
        <v>151</v>
      </c>
    </row>
    <row r="35" spans="1:1" x14ac:dyDescent="0.3">
      <c r="A35" t="s">
        <v>152</v>
      </c>
    </row>
    <row r="36" spans="1:1" x14ac:dyDescent="0.3">
      <c r="A36" t="s">
        <v>153</v>
      </c>
    </row>
    <row r="37" spans="1:1" x14ac:dyDescent="0.3">
      <c r="A37" t="s">
        <v>154</v>
      </c>
    </row>
    <row r="38" spans="1:1" x14ac:dyDescent="0.3">
      <c r="A38" t="s">
        <v>155</v>
      </c>
    </row>
    <row r="39" spans="1:1" x14ac:dyDescent="0.3">
      <c r="A39" t="s">
        <v>156</v>
      </c>
    </row>
    <row r="40" spans="1:1" x14ac:dyDescent="0.3">
      <c r="A40" t="s">
        <v>157</v>
      </c>
    </row>
    <row r="42" spans="1:1" x14ac:dyDescent="0.3">
      <c r="A42" t="s">
        <v>158</v>
      </c>
    </row>
    <row r="43" spans="1:1" x14ac:dyDescent="0.3">
      <c r="A43" t="s">
        <v>159</v>
      </c>
    </row>
    <row r="44" spans="1:1" x14ac:dyDescent="0.3">
      <c r="A44" t="s">
        <v>160</v>
      </c>
    </row>
    <row r="45" spans="1:1" x14ac:dyDescent="0.3">
      <c r="A45" t="s">
        <v>161</v>
      </c>
    </row>
    <row r="46" spans="1:1" x14ac:dyDescent="0.3">
      <c r="A46" t="s">
        <v>162</v>
      </c>
    </row>
    <row r="47" spans="1:1" x14ac:dyDescent="0.3">
      <c r="A47" t="s">
        <v>163</v>
      </c>
    </row>
    <row r="48" spans="1:1" x14ac:dyDescent="0.3">
      <c r="A48" t="s">
        <v>164</v>
      </c>
    </row>
    <row r="49" spans="1:1" x14ac:dyDescent="0.3">
      <c r="A49" t="s">
        <v>165</v>
      </c>
    </row>
    <row r="50" spans="1:1" x14ac:dyDescent="0.3">
      <c r="A50" t="s">
        <v>166</v>
      </c>
    </row>
    <row r="52" spans="1:1" x14ac:dyDescent="0.3">
      <c r="A52" t="s">
        <v>167</v>
      </c>
    </row>
    <row r="53" spans="1:1" x14ac:dyDescent="0.3">
      <c r="A53" t="s">
        <v>168</v>
      </c>
    </row>
    <row r="55" spans="1:1" x14ac:dyDescent="0.3">
      <c r="A55" t="s">
        <v>169</v>
      </c>
    </row>
    <row r="56" spans="1:1" x14ac:dyDescent="0.3">
      <c r="A56" t="s">
        <v>170</v>
      </c>
    </row>
    <row r="57" spans="1:1" x14ac:dyDescent="0.3">
      <c r="A57" t="s">
        <v>171</v>
      </c>
    </row>
    <row r="58" spans="1:1" x14ac:dyDescent="0.3">
      <c r="A58" t="s">
        <v>172</v>
      </c>
    </row>
    <row r="59" spans="1:1" x14ac:dyDescent="0.3">
      <c r="A59" t="s">
        <v>173</v>
      </c>
    </row>
    <row r="60" spans="1:1" x14ac:dyDescent="0.3">
      <c r="A60" t="s">
        <v>174</v>
      </c>
    </row>
    <row r="62" spans="1:1" x14ac:dyDescent="0.3">
      <c r="A62" t="s">
        <v>175</v>
      </c>
    </row>
    <row r="63" spans="1:1" x14ac:dyDescent="0.3">
      <c r="A63" t="s">
        <v>176</v>
      </c>
    </row>
    <row r="65" spans="1:1" x14ac:dyDescent="0.3">
      <c r="A65" t="s">
        <v>177</v>
      </c>
    </row>
    <row r="66" spans="1:1" x14ac:dyDescent="0.3">
      <c r="A66" t="s">
        <v>178</v>
      </c>
    </row>
    <row r="68" spans="1:1" x14ac:dyDescent="0.3">
      <c r="A68" t="s">
        <v>179</v>
      </c>
    </row>
    <row r="69" spans="1:1" x14ac:dyDescent="0.3">
      <c r="A69" t="s">
        <v>180</v>
      </c>
    </row>
    <row r="71" spans="1:1" x14ac:dyDescent="0.3">
      <c r="A71" t="s">
        <v>181</v>
      </c>
    </row>
    <row r="72" spans="1:1" x14ac:dyDescent="0.3">
      <c r="A72" t="s">
        <v>182</v>
      </c>
    </row>
    <row r="73" spans="1:1" x14ac:dyDescent="0.3">
      <c r="A73" t="s">
        <v>183</v>
      </c>
    </row>
    <row r="74" spans="1:1" x14ac:dyDescent="0.3">
      <c r="A74" t="s">
        <v>184</v>
      </c>
    </row>
    <row r="75" spans="1:1" x14ac:dyDescent="0.3">
      <c r="A75" t="s">
        <v>185</v>
      </c>
    </row>
    <row r="77" spans="1:1" x14ac:dyDescent="0.3">
      <c r="A77" t="s">
        <v>186</v>
      </c>
    </row>
    <row r="78" spans="1:1" x14ac:dyDescent="0.3">
      <c r="A78" t="s">
        <v>187</v>
      </c>
    </row>
    <row r="79" spans="1:1" x14ac:dyDescent="0.3">
      <c r="A79" t="s">
        <v>188</v>
      </c>
    </row>
    <row r="80" spans="1:1" x14ac:dyDescent="0.3">
      <c r="A80" t="s">
        <v>189</v>
      </c>
    </row>
    <row r="81" spans="1:1" x14ac:dyDescent="0.3">
      <c r="A81" t="s">
        <v>190</v>
      </c>
    </row>
    <row r="82" spans="1:1" x14ac:dyDescent="0.3">
      <c r="A82" t="s">
        <v>191</v>
      </c>
    </row>
    <row r="84" spans="1:1" x14ac:dyDescent="0.3">
      <c r="A84" t="s">
        <v>192</v>
      </c>
    </row>
    <row r="85" spans="1:1" x14ac:dyDescent="0.3">
      <c r="A85" t="s">
        <v>193</v>
      </c>
    </row>
    <row r="86" spans="1:1" x14ac:dyDescent="0.3">
      <c r="A86" t="s">
        <v>194</v>
      </c>
    </row>
    <row r="88" spans="1:1" x14ac:dyDescent="0.3">
      <c r="A88" t="s">
        <v>195</v>
      </c>
    </row>
    <row r="89" spans="1:1" x14ac:dyDescent="0.3">
      <c r="A89" t="s">
        <v>196</v>
      </c>
    </row>
    <row r="90" spans="1:1" x14ac:dyDescent="0.3">
      <c r="A90" t="s">
        <v>197</v>
      </c>
    </row>
    <row r="91" spans="1:1" x14ac:dyDescent="0.3">
      <c r="A91" t="s">
        <v>198</v>
      </c>
    </row>
    <row r="92" spans="1:1" x14ac:dyDescent="0.3">
      <c r="A92" t="s">
        <v>199</v>
      </c>
    </row>
    <row r="93" spans="1:1" x14ac:dyDescent="0.3">
      <c r="A93" t="s">
        <v>200</v>
      </c>
    </row>
    <row r="94" spans="1:1" x14ac:dyDescent="0.3">
      <c r="A94" t="s">
        <v>201</v>
      </c>
    </row>
    <row r="95" spans="1:1" x14ac:dyDescent="0.3">
      <c r="A95" t="s">
        <v>202</v>
      </c>
    </row>
    <row r="97" spans="1:1" x14ac:dyDescent="0.3">
      <c r="A97" t="s">
        <v>203</v>
      </c>
    </row>
    <row r="99" spans="1:1" x14ac:dyDescent="0.3">
      <c r="A99" t="s">
        <v>204</v>
      </c>
    </row>
    <row r="100" spans="1:1" x14ac:dyDescent="0.3">
      <c r="A100" t="s">
        <v>205</v>
      </c>
    </row>
    <row r="101" spans="1:1" x14ac:dyDescent="0.3">
      <c r="A101" t="s">
        <v>206</v>
      </c>
    </row>
    <row r="102" spans="1:1" x14ac:dyDescent="0.3">
      <c r="A102" t="s">
        <v>207</v>
      </c>
    </row>
    <row r="104" spans="1:1" x14ac:dyDescent="0.3">
      <c r="A104" t="s">
        <v>208</v>
      </c>
    </row>
    <row r="105" spans="1:1" x14ac:dyDescent="0.3">
      <c r="A105" t="s">
        <v>209</v>
      </c>
    </row>
    <row r="107" spans="1:1" x14ac:dyDescent="0.3">
      <c r="A107" t="s">
        <v>210</v>
      </c>
    </row>
    <row r="109" spans="1:1" x14ac:dyDescent="0.3">
      <c r="A109" t="s">
        <v>211</v>
      </c>
    </row>
    <row r="110" spans="1:1" x14ac:dyDescent="0.3">
      <c r="A110" t="s">
        <v>212</v>
      </c>
    </row>
    <row r="111" spans="1:1" x14ac:dyDescent="0.3">
      <c r="A111" t="s">
        <v>213</v>
      </c>
    </row>
    <row r="112" spans="1:1" x14ac:dyDescent="0.3">
      <c r="A112" t="s">
        <v>214</v>
      </c>
    </row>
    <row r="113" spans="1:1" x14ac:dyDescent="0.3">
      <c r="A113" t="s">
        <v>215</v>
      </c>
    </row>
    <row r="114" spans="1:1" x14ac:dyDescent="0.3">
      <c r="A114" t="s">
        <v>216</v>
      </c>
    </row>
    <row r="115" spans="1:1" x14ac:dyDescent="0.3">
      <c r="A115" t="s">
        <v>217</v>
      </c>
    </row>
    <row r="116" spans="1:1" x14ac:dyDescent="0.3">
      <c r="A116" t="s">
        <v>218</v>
      </c>
    </row>
    <row r="117" spans="1:1" x14ac:dyDescent="0.3">
      <c r="A117" t="s">
        <v>219</v>
      </c>
    </row>
    <row r="118" spans="1:1" x14ac:dyDescent="0.3">
      <c r="A118" t="s">
        <v>220</v>
      </c>
    </row>
    <row r="119" spans="1:1" x14ac:dyDescent="0.3">
      <c r="A119" t="s">
        <v>221</v>
      </c>
    </row>
    <row r="120" spans="1:1" x14ac:dyDescent="0.3">
      <c r="A120" t="s">
        <v>222</v>
      </c>
    </row>
    <row r="122" spans="1:1" x14ac:dyDescent="0.3">
      <c r="A122" t="s">
        <v>223</v>
      </c>
    </row>
    <row r="124" spans="1:1" x14ac:dyDescent="0.3">
      <c r="A124" t="s">
        <v>224</v>
      </c>
    </row>
    <row r="125" spans="1:1" x14ac:dyDescent="0.3">
      <c r="A125" t="s">
        <v>225</v>
      </c>
    </row>
    <row r="126" spans="1:1" x14ac:dyDescent="0.3">
      <c r="A126" t="s">
        <v>226</v>
      </c>
    </row>
    <row r="127" spans="1:1" x14ac:dyDescent="0.3">
      <c r="A127" t="s">
        <v>227</v>
      </c>
    </row>
    <row r="128" spans="1:1" x14ac:dyDescent="0.3">
      <c r="A128" t="s">
        <v>228</v>
      </c>
    </row>
    <row r="129" spans="1:1" x14ac:dyDescent="0.3">
      <c r="A129" t="s">
        <v>229</v>
      </c>
    </row>
    <row r="130" spans="1:1" x14ac:dyDescent="0.3">
      <c r="A130" t="s">
        <v>230</v>
      </c>
    </row>
    <row r="131" spans="1:1" x14ac:dyDescent="0.3">
      <c r="A131" t="s">
        <v>231</v>
      </c>
    </row>
    <row r="132" spans="1:1" x14ac:dyDescent="0.3">
      <c r="A132" t="s">
        <v>232</v>
      </c>
    </row>
    <row r="133" spans="1:1" x14ac:dyDescent="0.3">
      <c r="A133" t="s">
        <v>233</v>
      </c>
    </row>
    <row r="134" spans="1:1" x14ac:dyDescent="0.3">
      <c r="A134" t="s">
        <v>234</v>
      </c>
    </row>
    <row r="135" spans="1:1" x14ac:dyDescent="0.3">
      <c r="A135" t="s">
        <v>235</v>
      </c>
    </row>
    <row r="136" spans="1:1" x14ac:dyDescent="0.3">
      <c r="A136" t="s">
        <v>236</v>
      </c>
    </row>
    <row r="137" spans="1:1" x14ac:dyDescent="0.3">
      <c r="A137" t="s">
        <v>237</v>
      </c>
    </row>
    <row r="138" spans="1:1" x14ac:dyDescent="0.3">
      <c r="A138" t="s">
        <v>238</v>
      </c>
    </row>
    <row r="139" spans="1:1" x14ac:dyDescent="0.3">
      <c r="A139" t="s">
        <v>239</v>
      </c>
    </row>
    <row r="140" spans="1:1" x14ac:dyDescent="0.3">
      <c r="A140" t="s">
        <v>240</v>
      </c>
    </row>
    <row r="141" spans="1:1" x14ac:dyDescent="0.3">
      <c r="A141" t="s">
        <v>241</v>
      </c>
    </row>
    <row r="143" spans="1:1" x14ac:dyDescent="0.3">
      <c r="A143" t="s">
        <v>242</v>
      </c>
    </row>
    <row r="144" spans="1:1" x14ac:dyDescent="0.3">
      <c r="A144" t="s">
        <v>243</v>
      </c>
    </row>
    <row r="145" spans="1:1" x14ac:dyDescent="0.3">
      <c r="A145" t="s">
        <v>244</v>
      </c>
    </row>
    <row r="147" spans="1:1" x14ac:dyDescent="0.3">
      <c r="A147" t="s">
        <v>245</v>
      </c>
    </row>
    <row r="148" spans="1:1" x14ac:dyDescent="0.3">
      <c r="A148" t="s">
        <v>246</v>
      </c>
    </row>
    <row r="149" spans="1:1" x14ac:dyDescent="0.3">
      <c r="A149" t="s">
        <v>247</v>
      </c>
    </row>
    <row r="151" spans="1:1" x14ac:dyDescent="0.3">
      <c r="A151" t="s">
        <v>248</v>
      </c>
    </row>
    <row r="152" spans="1:1" x14ac:dyDescent="0.3">
      <c r="A152" t="s">
        <v>249</v>
      </c>
    </row>
    <row r="153" spans="1:1" x14ac:dyDescent="0.3">
      <c r="A153" t="s">
        <v>250</v>
      </c>
    </row>
    <row r="154" spans="1:1" x14ac:dyDescent="0.3">
      <c r="A154" t="s">
        <v>251</v>
      </c>
    </row>
    <row r="155" spans="1:1" x14ac:dyDescent="0.3">
      <c r="A155" t="s">
        <v>252</v>
      </c>
    </row>
    <row r="156" spans="1:1" x14ac:dyDescent="0.3">
      <c r="A156" t="s">
        <v>253</v>
      </c>
    </row>
    <row r="157" spans="1:1" x14ac:dyDescent="0.3">
      <c r="A157" t="s">
        <v>254</v>
      </c>
    </row>
    <row r="158" spans="1:1" x14ac:dyDescent="0.3">
      <c r="A158" t="s">
        <v>255</v>
      </c>
    </row>
    <row r="159" spans="1:1" x14ac:dyDescent="0.3">
      <c r="A159" t="s">
        <v>256</v>
      </c>
    </row>
    <row r="160" spans="1:1" x14ac:dyDescent="0.3">
      <c r="A160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4668-FA03-43C9-B1B8-AC8FD69BB571}">
  <dimension ref="A1:G160"/>
  <sheetViews>
    <sheetView workbookViewId="0">
      <selection activeCell="F1" sqref="F1:G1"/>
    </sheetView>
  </sheetViews>
  <sheetFormatPr defaultRowHeight="14.4" x14ac:dyDescent="0.3"/>
  <cols>
    <col min="3" max="3" width="61.88671875" bestFit="1" customWidth="1"/>
  </cols>
  <sheetData>
    <row r="1" spans="1:7" x14ac:dyDescent="0.3">
      <c r="A1" t="s">
        <v>258</v>
      </c>
      <c r="B1" t="s">
        <v>259</v>
      </c>
      <c r="C1" t="s">
        <v>260</v>
      </c>
      <c r="D1" t="s">
        <v>261</v>
      </c>
      <c r="F1" t="str">
        <f>TRIM(B1)</f>
        <v>Q1</v>
      </c>
      <c r="G1" t="str">
        <f>TRIM(C1)</f>
        <v>What is your nationality?</v>
      </c>
    </row>
    <row r="2" spans="1:7" x14ac:dyDescent="0.3">
      <c r="A2" t="s">
        <v>258</v>
      </c>
      <c r="B2" t="s">
        <v>940</v>
      </c>
      <c r="C2" t="s">
        <v>262</v>
      </c>
      <c r="D2" t="s">
        <v>263</v>
      </c>
      <c r="E2" t="e">
        <f>VLOOKUP(B2,data1,2,FALSE)</f>
        <v>#N/A</v>
      </c>
    </row>
    <row r="3" spans="1:7" x14ac:dyDescent="0.3">
      <c r="A3" t="s">
        <v>258</v>
      </c>
      <c r="B3" t="s">
        <v>264</v>
      </c>
      <c r="C3" t="s">
        <v>265</v>
      </c>
      <c r="D3" t="s">
        <v>266</v>
      </c>
      <c r="E3" t="e">
        <f>VLOOKUP(B3,data1,2,FALSE)</f>
        <v>#N/A</v>
      </c>
    </row>
    <row r="4" spans="1:7" x14ac:dyDescent="0.3">
      <c r="A4" t="s">
        <v>258</v>
      </c>
      <c r="B4" t="s">
        <v>267</v>
      </c>
      <c r="C4" t="s">
        <v>268</v>
      </c>
      <c r="D4" t="s">
        <v>5</v>
      </c>
      <c r="E4" t="e">
        <f>VLOOKUP(B4,data1,2,FALSE)</f>
        <v>#N/A</v>
      </c>
      <c r="F4" t="s">
        <v>656</v>
      </c>
    </row>
    <row r="5" spans="1:7" x14ac:dyDescent="0.3">
      <c r="E5" t="e">
        <f>VLOOKUP(B5,data1,2,FALSE)</f>
        <v>#N/A</v>
      </c>
    </row>
    <row r="6" spans="1:7" x14ac:dyDescent="0.3">
      <c r="A6" t="s">
        <v>258</v>
      </c>
      <c r="B6" t="s">
        <v>269</v>
      </c>
      <c r="C6" t="s">
        <v>270</v>
      </c>
      <c r="D6" t="s">
        <v>271</v>
      </c>
      <c r="E6" t="e">
        <f>VLOOKUP(B6,data1,2,FALSE)</f>
        <v>#N/A</v>
      </c>
    </row>
    <row r="7" spans="1:7" x14ac:dyDescent="0.3">
      <c r="A7" t="s">
        <v>258</v>
      </c>
      <c r="B7" t="s">
        <v>272</v>
      </c>
      <c r="C7" t="s">
        <v>273</v>
      </c>
      <c r="D7" t="s">
        <v>657</v>
      </c>
      <c r="E7" t="e">
        <f>VLOOKUP(B7,data1,2,FALSE)</f>
        <v>#N/A</v>
      </c>
    </row>
    <row r="8" spans="1:7" x14ac:dyDescent="0.3">
      <c r="A8" t="s">
        <v>258</v>
      </c>
      <c r="B8" t="s">
        <v>274</v>
      </c>
      <c r="C8" t="s">
        <v>275</v>
      </c>
      <c r="D8" t="s">
        <v>276</v>
      </c>
      <c r="E8" t="e">
        <f>VLOOKUP(B8,data1,2,FALSE)</f>
        <v>#N/A</v>
      </c>
    </row>
    <row r="9" spans="1:7" x14ac:dyDescent="0.3">
      <c r="A9" t="s">
        <v>258</v>
      </c>
      <c r="B9" t="s">
        <v>277</v>
      </c>
      <c r="C9" t="s">
        <v>278</v>
      </c>
      <c r="D9" t="s">
        <v>279</v>
      </c>
      <c r="E9" t="e">
        <f>VLOOKUP(B9,data1,2,FALSE)</f>
        <v>#N/A</v>
      </c>
    </row>
    <row r="10" spans="1:7" x14ac:dyDescent="0.3">
      <c r="A10" t="s">
        <v>258</v>
      </c>
      <c r="B10" t="s">
        <v>280</v>
      </c>
      <c r="C10" t="s">
        <v>281</v>
      </c>
      <c r="D10" t="s">
        <v>282</v>
      </c>
      <c r="E10" t="e">
        <f>VLOOKUP(B10,data1,2,FALSE)</f>
        <v>#N/A</v>
      </c>
    </row>
    <row r="11" spans="1:7" x14ac:dyDescent="0.3">
      <c r="A11" t="s">
        <v>258</v>
      </c>
      <c r="B11" t="s">
        <v>283</v>
      </c>
      <c r="C11" t="s">
        <v>284</v>
      </c>
      <c r="D11" t="s">
        <v>285</v>
      </c>
      <c r="E11" t="e">
        <f>VLOOKUP(B11,data1,2,FALSE)</f>
        <v>#N/A</v>
      </c>
    </row>
    <row r="12" spans="1:7" x14ac:dyDescent="0.3">
      <c r="A12" t="s">
        <v>258</v>
      </c>
      <c r="B12" t="s">
        <v>286</v>
      </c>
      <c r="C12" t="s">
        <v>287</v>
      </c>
      <c r="D12" t="s">
        <v>288</v>
      </c>
      <c r="E12" t="e">
        <f>VLOOKUP(B12,data1,2,FALSE)</f>
        <v>#N/A</v>
      </c>
    </row>
    <row r="13" spans="1:7" x14ac:dyDescent="0.3">
      <c r="A13" t="s">
        <v>258</v>
      </c>
      <c r="B13" t="s">
        <v>289</v>
      </c>
      <c r="C13" t="s">
        <v>290</v>
      </c>
      <c r="D13" t="s">
        <v>291</v>
      </c>
      <c r="E13" t="e">
        <f>VLOOKUP(B13,data1,2,FALSE)</f>
        <v>#N/A</v>
      </c>
    </row>
    <row r="14" spans="1:7" x14ac:dyDescent="0.3">
      <c r="E14" t="e">
        <f>VLOOKUP(B14,data1,2,FALSE)</f>
        <v>#N/A</v>
      </c>
    </row>
    <row r="15" spans="1:7" x14ac:dyDescent="0.3">
      <c r="A15" t="s">
        <v>258</v>
      </c>
      <c r="B15" t="s">
        <v>292</v>
      </c>
      <c r="C15" t="s">
        <v>293</v>
      </c>
      <c r="D15" t="s">
        <v>659</v>
      </c>
      <c r="E15" t="e">
        <f>VLOOKUP(B15,data1,2,FALSE)</f>
        <v>#N/A</v>
      </c>
    </row>
    <row r="16" spans="1:7" x14ac:dyDescent="0.3">
      <c r="A16" t="s">
        <v>258</v>
      </c>
      <c r="B16" t="s">
        <v>294</v>
      </c>
      <c r="C16" t="s">
        <v>295</v>
      </c>
      <c r="D16" t="s">
        <v>661</v>
      </c>
      <c r="E16" t="e">
        <f>VLOOKUP(B16,data1,2,FALSE)</f>
        <v>#N/A</v>
      </c>
    </row>
    <row r="17" spans="1:5" x14ac:dyDescent="0.3">
      <c r="A17" t="s">
        <v>258</v>
      </c>
      <c r="B17" t="s">
        <v>296</v>
      </c>
      <c r="C17" t="s">
        <v>297</v>
      </c>
      <c r="D17" t="s">
        <v>298</v>
      </c>
      <c r="E17" t="e">
        <f>VLOOKUP(B17,data1,2,FALSE)</f>
        <v>#N/A</v>
      </c>
    </row>
    <row r="18" spans="1:5" x14ac:dyDescent="0.3">
      <c r="E18" t="e">
        <f>VLOOKUP(B18,data1,2,FALSE)</f>
        <v>#N/A</v>
      </c>
    </row>
    <row r="19" spans="1:5" x14ac:dyDescent="0.3">
      <c r="A19" t="s">
        <v>258</v>
      </c>
      <c r="B19" t="s">
        <v>299</v>
      </c>
      <c r="C19" t="s">
        <v>300</v>
      </c>
      <c r="D19" t="s">
        <v>301</v>
      </c>
      <c r="E19" t="e">
        <f>VLOOKUP(B19,data1,2,FALSE)</f>
        <v>#N/A</v>
      </c>
    </row>
    <row r="20" spans="1:5" x14ac:dyDescent="0.3">
      <c r="A20" t="s">
        <v>258</v>
      </c>
      <c r="B20" t="s">
        <v>302</v>
      </c>
      <c r="C20" t="s">
        <v>303</v>
      </c>
      <c r="D20" t="s">
        <v>304</v>
      </c>
      <c r="E20" t="e">
        <f>VLOOKUP(B20,data1,2,FALSE)</f>
        <v>#N/A</v>
      </c>
    </row>
    <row r="21" spans="1:5" x14ac:dyDescent="0.3">
      <c r="A21" t="s">
        <v>258</v>
      </c>
      <c r="B21" t="s">
        <v>305</v>
      </c>
      <c r="C21" t="s">
        <v>306</v>
      </c>
      <c r="D21" t="s">
        <v>307</v>
      </c>
      <c r="E21" t="e">
        <f>VLOOKUP(B21,data1,2,FALSE)</f>
        <v>#N/A</v>
      </c>
    </row>
    <row r="22" spans="1:5" x14ac:dyDescent="0.3">
      <c r="A22" t="s">
        <v>258</v>
      </c>
      <c r="B22" t="s">
        <v>308</v>
      </c>
      <c r="C22" t="s">
        <v>309</v>
      </c>
      <c r="D22" t="s">
        <v>310</v>
      </c>
      <c r="E22" t="e">
        <f>VLOOKUP(B22,data1,2,FALSE)</f>
        <v>#N/A</v>
      </c>
    </row>
    <row r="23" spans="1:5" x14ac:dyDescent="0.3">
      <c r="A23" t="s">
        <v>258</v>
      </c>
      <c r="B23" t="s">
        <v>311</v>
      </c>
      <c r="C23" t="s">
        <v>312</v>
      </c>
      <c r="D23" t="s">
        <v>663</v>
      </c>
      <c r="E23" t="e">
        <f>VLOOKUP(B23,data1,2,FALSE)</f>
        <v>#N/A</v>
      </c>
    </row>
    <row r="24" spans="1:5" x14ac:dyDescent="0.3">
      <c r="A24" t="s">
        <v>258</v>
      </c>
      <c r="B24" t="s">
        <v>313</v>
      </c>
      <c r="C24" t="s">
        <v>314</v>
      </c>
      <c r="D24" t="s">
        <v>665</v>
      </c>
      <c r="E24" t="e">
        <f>VLOOKUP(B24,data1,2,FALSE)</f>
        <v>#N/A</v>
      </c>
    </row>
    <row r="25" spans="1:5" x14ac:dyDescent="0.3">
      <c r="A25" t="s">
        <v>258</v>
      </c>
      <c r="B25" t="s">
        <v>315</v>
      </c>
      <c r="C25" t="s">
        <v>316</v>
      </c>
      <c r="D25" t="s">
        <v>317</v>
      </c>
      <c r="E25" t="e">
        <f>VLOOKUP(B25,data1,2,FALSE)</f>
        <v>#N/A</v>
      </c>
    </row>
    <row r="26" spans="1:5" x14ac:dyDescent="0.3">
      <c r="A26" t="s">
        <v>258</v>
      </c>
      <c r="B26" t="s">
        <v>318</v>
      </c>
      <c r="C26" t="s">
        <v>941</v>
      </c>
      <c r="D26" t="s">
        <v>667</v>
      </c>
      <c r="E26" t="e">
        <f>VLOOKUP(B26,data1,2,FALSE)</f>
        <v>#N/A</v>
      </c>
    </row>
    <row r="27" spans="1:5" x14ac:dyDescent="0.3">
      <c r="A27" t="s">
        <v>258</v>
      </c>
      <c r="B27" t="s">
        <v>319</v>
      </c>
      <c r="C27" t="s">
        <v>320</v>
      </c>
      <c r="D27" t="s">
        <v>321</v>
      </c>
      <c r="E27" t="e">
        <f>VLOOKUP(B27,data1,2,FALSE)</f>
        <v>#N/A</v>
      </c>
    </row>
    <row r="28" spans="1:5" x14ac:dyDescent="0.3">
      <c r="A28" t="s">
        <v>258</v>
      </c>
      <c r="B28" t="s">
        <v>322</v>
      </c>
      <c r="C28" t="s">
        <v>323</v>
      </c>
      <c r="D28" t="s">
        <v>324</v>
      </c>
      <c r="E28" t="e">
        <f>VLOOKUP(B28,data1,2,FALSE)</f>
        <v>#N/A</v>
      </c>
    </row>
    <row r="29" spans="1:5" x14ac:dyDescent="0.3">
      <c r="E29" t="e">
        <f>VLOOKUP(B29,data1,2,FALSE)</f>
        <v>#N/A</v>
      </c>
    </row>
    <row r="30" spans="1:5" x14ac:dyDescent="0.3">
      <c r="A30" t="s">
        <v>258</v>
      </c>
      <c r="B30" t="s">
        <v>325</v>
      </c>
      <c r="C30" t="s">
        <v>326</v>
      </c>
      <c r="D30" t="s">
        <v>327</v>
      </c>
      <c r="E30" t="e">
        <f>VLOOKUP(B30,data1,2,FALSE)</f>
        <v>#N/A</v>
      </c>
    </row>
    <row r="31" spans="1:5" x14ac:dyDescent="0.3">
      <c r="A31" t="s">
        <v>258</v>
      </c>
      <c r="B31" t="s">
        <v>328</v>
      </c>
      <c r="C31" t="s">
        <v>329</v>
      </c>
      <c r="D31" t="s">
        <v>330</v>
      </c>
      <c r="E31" t="e">
        <f>VLOOKUP(B31,data1,2,FALSE)</f>
        <v>#N/A</v>
      </c>
    </row>
    <row r="32" spans="1:5" x14ac:dyDescent="0.3">
      <c r="A32" t="s">
        <v>258</v>
      </c>
      <c r="B32" t="s">
        <v>331</v>
      </c>
      <c r="C32" t="s">
        <v>332</v>
      </c>
      <c r="D32" t="s">
        <v>333</v>
      </c>
      <c r="E32" t="e">
        <f>VLOOKUP(B32,data1,2,FALSE)</f>
        <v>#N/A</v>
      </c>
    </row>
    <row r="33" spans="1:5" x14ac:dyDescent="0.3">
      <c r="A33" t="s">
        <v>258</v>
      </c>
      <c r="B33" t="s">
        <v>334</v>
      </c>
      <c r="C33" t="s">
        <v>335</v>
      </c>
      <c r="D33" t="s">
        <v>336</v>
      </c>
      <c r="E33" t="e">
        <f>VLOOKUP(B33,data1,2,FALSE)</f>
        <v>#N/A</v>
      </c>
    </row>
    <row r="34" spans="1:5" x14ac:dyDescent="0.3">
      <c r="A34" t="s">
        <v>258</v>
      </c>
      <c r="B34" t="s">
        <v>337</v>
      </c>
      <c r="C34" t="s">
        <v>338</v>
      </c>
      <c r="D34" t="s">
        <v>339</v>
      </c>
      <c r="E34" t="e">
        <f>VLOOKUP(B34,data1,2,FALSE)</f>
        <v>#N/A</v>
      </c>
    </row>
    <row r="35" spans="1:5" x14ac:dyDescent="0.3">
      <c r="A35" t="s">
        <v>258</v>
      </c>
      <c r="B35" t="s">
        <v>340</v>
      </c>
      <c r="C35" t="s">
        <v>341</v>
      </c>
      <c r="D35" t="s">
        <v>342</v>
      </c>
      <c r="E35" t="e">
        <f>VLOOKUP(B35,data1,2,FALSE)</f>
        <v>#N/A</v>
      </c>
    </row>
    <row r="36" spans="1:5" x14ac:dyDescent="0.3">
      <c r="A36" t="s">
        <v>258</v>
      </c>
      <c r="B36" t="s">
        <v>343</v>
      </c>
      <c r="C36" t="s">
        <v>344</v>
      </c>
      <c r="D36" t="s">
        <v>345</v>
      </c>
      <c r="E36" t="e">
        <f>VLOOKUP(B36,data1,2,FALSE)</f>
        <v>#N/A</v>
      </c>
    </row>
    <row r="37" spans="1:5" x14ac:dyDescent="0.3">
      <c r="A37" t="s">
        <v>258</v>
      </c>
      <c r="B37" t="s">
        <v>346</v>
      </c>
      <c r="C37" t="s">
        <v>347</v>
      </c>
      <c r="D37" t="s">
        <v>348</v>
      </c>
      <c r="E37" t="e">
        <f>VLOOKUP(B37,data1,2,FALSE)</f>
        <v>#N/A</v>
      </c>
    </row>
    <row r="38" spans="1:5" x14ac:dyDescent="0.3">
      <c r="A38" t="s">
        <v>258</v>
      </c>
      <c r="B38" t="s">
        <v>349</v>
      </c>
      <c r="C38" t="s">
        <v>350</v>
      </c>
      <c r="D38" t="s">
        <v>351</v>
      </c>
      <c r="E38" t="e">
        <f>VLOOKUP(B38,data1,2,FALSE)</f>
        <v>#N/A</v>
      </c>
    </row>
    <row r="39" spans="1:5" x14ac:dyDescent="0.3">
      <c r="A39" t="s">
        <v>258</v>
      </c>
      <c r="B39" t="s">
        <v>352</v>
      </c>
      <c r="C39" t="s">
        <v>353</v>
      </c>
      <c r="D39" t="s">
        <v>354</v>
      </c>
      <c r="E39" t="e">
        <f>VLOOKUP(B39,data1,2,FALSE)</f>
        <v>#N/A</v>
      </c>
    </row>
    <row r="40" spans="1:5" x14ac:dyDescent="0.3">
      <c r="A40" t="s">
        <v>258</v>
      </c>
      <c r="B40" t="s">
        <v>355</v>
      </c>
      <c r="C40" t="s">
        <v>356</v>
      </c>
      <c r="D40" t="s">
        <v>357</v>
      </c>
      <c r="E40" t="e">
        <f>VLOOKUP(B40,data1,2,FALSE)</f>
        <v>#N/A</v>
      </c>
    </row>
    <row r="41" spans="1:5" x14ac:dyDescent="0.3">
      <c r="E41" t="e">
        <f>VLOOKUP(B41,data1,2,FALSE)</f>
        <v>#N/A</v>
      </c>
    </row>
    <row r="42" spans="1:5" x14ac:dyDescent="0.3">
      <c r="A42" t="s">
        <v>258</v>
      </c>
      <c r="B42" t="s">
        <v>358</v>
      </c>
      <c r="C42" t="s">
        <v>359</v>
      </c>
      <c r="D42" t="s">
        <v>360</v>
      </c>
      <c r="E42" t="e">
        <f>VLOOKUP(B42,data1,2,FALSE)</f>
        <v>#N/A</v>
      </c>
    </row>
    <row r="43" spans="1:5" x14ac:dyDescent="0.3">
      <c r="A43" t="s">
        <v>258</v>
      </c>
      <c r="B43" t="s">
        <v>361</v>
      </c>
      <c r="C43" t="s">
        <v>362</v>
      </c>
      <c r="D43" t="s">
        <v>363</v>
      </c>
      <c r="E43" t="e">
        <f>VLOOKUP(B43,data1,2,FALSE)</f>
        <v>#N/A</v>
      </c>
    </row>
    <row r="44" spans="1:5" x14ac:dyDescent="0.3">
      <c r="A44" t="s">
        <v>258</v>
      </c>
      <c r="B44" t="s">
        <v>364</v>
      </c>
      <c r="C44" t="s">
        <v>365</v>
      </c>
      <c r="D44" t="s">
        <v>366</v>
      </c>
      <c r="E44" t="e">
        <f>VLOOKUP(B44,data1,2,FALSE)</f>
        <v>#N/A</v>
      </c>
    </row>
    <row r="45" spans="1:5" x14ac:dyDescent="0.3">
      <c r="A45" t="s">
        <v>258</v>
      </c>
      <c r="B45" t="s">
        <v>367</v>
      </c>
      <c r="C45" t="s">
        <v>368</v>
      </c>
      <c r="D45" t="s">
        <v>369</v>
      </c>
      <c r="E45" t="e">
        <f>VLOOKUP(B45,data1,2,FALSE)</f>
        <v>#N/A</v>
      </c>
    </row>
    <row r="46" spans="1:5" x14ac:dyDescent="0.3">
      <c r="A46" t="s">
        <v>258</v>
      </c>
      <c r="B46" t="s">
        <v>370</v>
      </c>
      <c r="C46" t="s">
        <v>371</v>
      </c>
      <c r="D46" t="s">
        <v>372</v>
      </c>
      <c r="E46" t="e">
        <f>VLOOKUP(B46,data1,2,FALSE)</f>
        <v>#N/A</v>
      </c>
    </row>
    <row r="47" spans="1:5" x14ac:dyDescent="0.3">
      <c r="A47" t="s">
        <v>258</v>
      </c>
      <c r="B47" t="s">
        <v>373</v>
      </c>
      <c r="C47" t="s">
        <v>374</v>
      </c>
      <c r="D47" t="s">
        <v>375</v>
      </c>
      <c r="E47" t="e">
        <f>VLOOKUP(B47,data1,2,FALSE)</f>
        <v>#N/A</v>
      </c>
    </row>
    <row r="48" spans="1:5" x14ac:dyDescent="0.3">
      <c r="A48" t="s">
        <v>258</v>
      </c>
      <c r="B48" t="s">
        <v>376</v>
      </c>
      <c r="C48" t="s">
        <v>377</v>
      </c>
      <c r="D48" t="s">
        <v>378</v>
      </c>
      <c r="E48" t="e">
        <f>VLOOKUP(B48,data1,2,FALSE)</f>
        <v>#N/A</v>
      </c>
    </row>
    <row r="49" spans="1:5" x14ac:dyDescent="0.3">
      <c r="A49" t="s">
        <v>258</v>
      </c>
      <c r="B49" t="s">
        <v>379</v>
      </c>
      <c r="C49" t="s">
        <v>380</v>
      </c>
      <c r="D49" t="s">
        <v>381</v>
      </c>
      <c r="E49" t="e">
        <f>VLOOKUP(B49,data1,2,FALSE)</f>
        <v>#N/A</v>
      </c>
    </row>
    <row r="50" spans="1:5" x14ac:dyDescent="0.3">
      <c r="A50" t="s">
        <v>258</v>
      </c>
      <c r="B50" t="s">
        <v>382</v>
      </c>
      <c r="C50" t="s">
        <v>383</v>
      </c>
      <c r="D50" t="s">
        <v>384</v>
      </c>
      <c r="E50" t="e">
        <f>VLOOKUP(B50,data1,2,FALSE)</f>
        <v>#N/A</v>
      </c>
    </row>
    <row r="51" spans="1:5" x14ac:dyDescent="0.3">
      <c r="E51" t="e">
        <f>VLOOKUP(B51,data1,2,FALSE)</f>
        <v>#N/A</v>
      </c>
    </row>
    <row r="52" spans="1:5" x14ac:dyDescent="0.3">
      <c r="A52" t="s">
        <v>258</v>
      </c>
      <c r="B52" t="s">
        <v>385</v>
      </c>
      <c r="C52" t="s">
        <v>386</v>
      </c>
      <c r="D52" t="s">
        <v>387</v>
      </c>
      <c r="E52" t="e">
        <f>VLOOKUP(B52,data1,2,FALSE)</f>
        <v>#N/A</v>
      </c>
    </row>
    <row r="53" spans="1:5" x14ac:dyDescent="0.3">
      <c r="A53" t="s">
        <v>258</v>
      </c>
      <c r="B53" t="s">
        <v>388</v>
      </c>
      <c r="C53" t="s">
        <v>389</v>
      </c>
      <c r="D53" t="s">
        <v>390</v>
      </c>
      <c r="E53" t="e">
        <f>VLOOKUP(B53,data1,2,FALSE)</f>
        <v>#N/A</v>
      </c>
    </row>
    <row r="54" spans="1:5" x14ac:dyDescent="0.3">
      <c r="E54" t="e">
        <f>VLOOKUP(B54,data1,2,FALSE)</f>
        <v>#N/A</v>
      </c>
    </row>
    <row r="55" spans="1:5" x14ac:dyDescent="0.3">
      <c r="A55" t="s">
        <v>258</v>
      </c>
      <c r="B55" t="s">
        <v>391</v>
      </c>
      <c r="C55" t="s">
        <v>392</v>
      </c>
      <c r="D55" t="s">
        <v>393</v>
      </c>
      <c r="E55" t="e">
        <f>VLOOKUP(B55,data1,2,FALSE)</f>
        <v>#N/A</v>
      </c>
    </row>
    <row r="56" spans="1:5" x14ac:dyDescent="0.3">
      <c r="A56" t="s">
        <v>258</v>
      </c>
      <c r="B56" t="s">
        <v>394</v>
      </c>
      <c r="C56" t="s">
        <v>395</v>
      </c>
      <c r="D56" t="s">
        <v>396</v>
      </c>
      <c r="E56" t="e">
        <f>VLOOKUP(B56,data1,2,FALSE)</f>
        <v>#N/A</v>
      </c>
    </row>
    <row r="57" spans="1:5" x14ac:dyDescent="0.3">
      <c r="A57" t="s">
        <v>258</v>
      </c>
      <c r="B57" t="s">
        <v>397</v>
      </c>
      <c r="C57" t="s">
        <v>398</v>
      </c>
      <c r="D57" t="s">
        <v>399</v>
      </c>
      <c r="E57" t="e">
        <f>VLOOKUP(B57,data1,2,FALSE)</f>
        <v>#N/A</v>
      </c>
    </row>
    <row r="58" spans="1:5" x14ac:dyDescent="0.3">
      <c r="A58" t="s">
        <v>258</v>
      </c>
      <c r="B58" t="s">
        <v>400</v>
      </c>
      <c r="C58" t="s">
        <v>401</v>
      </c>
      <c r="D58" t="s">
        <v>402</v>
      </c>
      <c r="E58" t="e">
        <f>VLOOKUP(B58,data1,2,FALSE)</f>
        <v>#N/A</v>
      </c>
    </row>
    <row r="59" spans="1:5" x14ac:dyDescent="0.3">
      <c r="A59" t="s">
        <v>258</v>
      </c>
      <c r="B59" t="s">
        <v>403</v>
      </c>
      <c r="C59" t="s">
        <v>404</v>
      </c>
      <c r="D59" t="s">
        <v>405</v>
      </c>
      <c r="E59" t="e">
        <f>VLOOKUP(B59,data1,2,FALSE)</f>
        <v>#N/A</v>
      </c>
    </row>
    <row r="60" spans="1:5" x14ac:dyDescent="0.3">
      <c r="A60" t="s">
        <v>258</v>
      </c>
      <c r="B60" t="s">
        <v>406</v>
      </c>
      <c r="C60" t="s">
        <v>407</v>
      </c>
      <c r="D60" t="s">
        <v>408</v>
      </c>
      <c r="E60" t="e">
        <f>VLOOKUP(B60,data1,2,FALSE)</f>
        <v>#N/A</v>
      </c>
    </row>
    <row r="61" spans="1:5" x14ac:dyDescent="0.3">
      <c r="E61" t="e">
        <f>VLOOKUP(B61,data1,2,FALSE)</f>
        <v>#N/A</v>
      </c>
    </row>
    <row r="62" spans="1:5" x14ac:dyDescent="0.3">
      <c r="A62" t="s">
        <v>258</v>
      </c>
      <c r="B62" t="s">
        <v>409</v>
      </c>
      <c r="C62" t="s">
        <v>410</v>
      </c>
      <c r="D62" t="s">
        <v>411</v>
      </c>
      <c r="E62" t="e">
        <f>VLOOKUP(B62,data1,2,FALSE)</f>
        <v>#N/A</v>
      </c>
    </row>
    <row r="63" spans="1:5" x14ac:dyDescent="0.3">
      <c r="A63" t="s">
        <v>258</v>
      </c>
      <c r="B63" t="s">
        <v>412</v>
      </c>
      <c r="C63" t="s">
        <v>413</v>
      </c>
      <c r="D63" t="s">
        <v>414</v>
      </c>
      <c r="E63" t="e">
        <f>VLOOKUP(B63,data1,2,FALSE)</f>
        <v>#N/A</v>
      </c>
    </row>
    <row r="64" spans="1:5" x14ac:dyDescent="0.3">
      <c r="E64" t="e">
        <f>VLOOKUP(B64,data1,2,FALSE)</f>
        <v>#N/A</v>
      </c>
    </row>
    <row r="65" spans="1:5" x14ac:dyDescent="0.3">
      <c r="A65" t="s">
        <v>258</v>
      </c>
      <c r="B65" t="s">
        <v>415</v>
      </c>
      <c r="C65" t="s">
        <v>416</v>
      </c>
      <c r="D65" t="s">
        <v>417</v>
      </c>
      <c r="E65" t="e">
        <f>VLOOKUP(B65,data1,2,FALSE)</f>
        <v>#N/A</v>
      </c>
    </row>
    <row r="66" spans="1:5" x14ac:dyDescent="0.3">
      <c r="A66" t="s">
        <v>258</v>
      </c>
      <c r="B66" t="s">
        <v>418</v>
      </c>
      <c r="C66" t="s">
        <v>419</v>
      </c>
      <c r="D66" t="s">
        <v>420</v>
      </c>
      <c r="E66" t="e">
        <f>VLOOKUP(B66,data1,2,FALSE)</f>
        <v>#N/A</v>
      </c>
    </row>
    <row r="67" spans="1:5" x14ac:dyDescent="0.3">
      <c r="E67" t="e">
        <f>VLOOKUP(B67,data1,2,FALSE)</f>
        <v>#N/A</v>
      </c>
    </row>
    <row r="68" spans="1:5" x14ac:dyDescent="0.3">
      <c r="A68" t="s">
        <v>258</v>
      </c>
      <c r="B68" t="s">
        <v>421</v>
      </c>
      <c r="C68" t="s">
        <v>422</v>
      </c>
      <c r="D68" t="s">
        <v>423</v>
      </c>
      <c r="E68" t="e">
        <f>VLOOKUP(B68,data1,2,FALSE)</f>
        <v>#N/A</v>
      </c>
    </row>
    <row r="69" spans="1:5" x14ac:dyDescent="0.3">
      <c r="A69" t="s">
        <v>258</v>
      </c>
      <c r="B69" t="s">
        <v>424</v>
      </c>
      <c r="C69" t="s">
        <v>425</v>
      </c>
      <c r="D69" t="s">
        <v>426</v>
      </c>
      <c r="E69" t="e">
        <f>VLOOKUP(B69,data1,2,FALSE)</f>
        <v>#N/A</v>
      </c>
    </row>
    <row r="70" spans="1:5" x14ac:dyDescent="0.3">
      <c r="E70" t="e">
        <f>VLOOKUP(B70,data1,2,FALSE)</f>
        <v>#N/A</v>
      </c>
    </row>
    <row r="71" spans="1:5" x14ac:dyDescent="0.3">
      <c r="A71" t="s">
        <v>258</v>
      </c>
      <c r="B71" t="s">
        <v>427</v>
      </c>
      <c r="C71" t="s">
        <v>428</v>
      </c>
      <c r="D71" t="s">
        <v>429</v>
      </c>
      <c r="E71" t="e">
        <f>VLOOKUP(B71,data1,2,FALSE)</f>
        <v>#N/A</v>
      </c>
    </row>
    <row r="72" spans="1:5" x14ac:dyDescent="0.3">
      <c r="A72" t="s">
        <v>258</v>
      </c>
      <c r="B72" t="s">
        <v>430</v>
      </c>
      <c r="C72" t="s">
        <v>431</v>
      </c>
      <c r="D72" t="s">
        <v>432</v>
      </c>
      <c r="E72" t="e">
        <f>VLOOKUP(B72,data1,2,FALSE)</f>
        <v>#N/A</v>
      </c>
    </row>
    <row r="73" spans="1:5" x14ac:dyDescent="0.3">
      <c r="A73" t="s">
        <v>258</v>
      </c>
      <c r="B73" t="s">
        <v>433</v>
      </c>
      <c r="C73" t="s">
        <v>434</v>
      </c>
      <c r="D73" t="s">
        <v>435</v>
      </c>
      <c r="E73" t="e">
        <f>VLOOKUP(B73,data1,2,FALSE)</f>
        <v>#N/A</v>
      </c>
    </row>
    <row r="74" spans="1:5" x14ac:dyDescent="0.3">
      <c r="A74" t="s">
        <v>258</v>
      </c>
      <c r="B74" t="s">
        <v>436</v>
      </c>
      <c r="C74" t="s">
        <v>437</v>
      </c>
      <c r="D74" t="s">
        <v>438</v>
      </c>
      <c r="E74" t="e">
        <f>VLOOKUP(B74,data1,2,FALSE)</f>
        <v>#N/A</v>
      </c>
    </row>
    <row r="75" spans="1:5" x14ac:dyDescent="0.3">
      <c r="A75" t="s">
        <v>258</v>
      </c>
      <c r="B75" t="s">
        <v>439</v>
      </c>
      <c r="C75" t="s">
        <v>440</v>
      </c>
      <c r="D75" t="s">
        <v>441</v>
      </c>
      <c r="E75" t="e">
        <f>VLOOKUP(B75,data1,2,FALSE)</f>
        <v>#N/A</v>
      </c>
    </row>
    <row r="76" spans="1:5" x14ac:dyDescent="0.3">
      <c r="E76" t="e">
        <f>VLOOKUP(B76,data1,2,FALSE)</f>
        <v>#N/A</v>
      </c>
    </row>
    <row r="77" spans="1:5" x14ac:dyDescent="0.3">
      <c r="A77" t="s">
        <v>258</v>
      </c>
      <c r="B77" t="s">
        <v>442</v>
      </c>
      <c r="C77" t="s">
        <v>443</v>
      </c>
      <c r="D77" t="s">
        <v>444</v>
      </c>
      <c r="E77" t="e">
        <f>VLOOKUP(B77,data1,2,FALSE)</f>
        <v>#N/A</v>
      </c>
    </row>
    <row r="78" spans="1:5" x14ac:dyDescent="0.3">
      <c r="A78" t="s">
        <v>258</v>
      </c>
      <c r="B78" t="s">
        <v>445</v>
      </c>
      <c r="C78" t="s">
        <v>446</v>
      </c>
      <c r="D78" t="s">
        <v>447</v>
      </c>
      <c r="E78" t="e">
        <f>VLOOKUP(B78,data1,2,FALSE)</f>
        <v>#N/A</v>
      </c>
    </row>
    <row r="79" spans="1:5" x14ac:dyDescent="0.3">
      <c r="A79" t="s">
        <v>258</v>
      </c>
      <c r="B79" t="s">
        <v>448</v>
      </c>
      <c r="C79" t="s">
        <v>449</v>
      </c>
      <c r="D79" t="s">
        <v>450</v>
      </c>
      <c r="E79" t="e">
        <f>VLOOKUP(B79,data1,2,FALSE)</f>
        <v>#N/A</v>
      </c>
    </row>
    <row r="80" spans="1:5" x14ac:dyDescent="0.3">
      <c r="A80" t="s">
        <v>258</v>
      </c>
      <c r="B80" t="s">
        <v>451</v>
      </c>
      <c r="C80" t="s">
        <v>452</v>
      </c>
      <c r="D80" t="s">
        <v>453</v>
      </c>
      <c r="E80" t="e">
        <f>VLOOKUP(B80,data1,2,FALSE)</f>
        <v>#N/A</v>
      </c>
    </row>
    <row r="81" spans="1:5" x14ac:dyDescent="0.3">
      <c r="A81" t="s">
        <v>258</v>
      </c>
      <c r="B81" t="s">
        <v>454</v>
      </c>
      <c r="C81" t="s">
        <v>455</v>
      </c>
      <c r="D81" t="s">
        <v>456</v>
      </c>
      <c r="E81" t="e">
        <f>VLOOKUP(B81,data1,2,FALSE)</f>
        <v>#N/A</v>
      </c>
    </row>
    <row r="82" spans="1:5" x14ac:dyDescent="0.3">
      <c r="A82" t="s">
        <v>258</v>
      </c>
      <c r="B82" t="s">
        <v>457</v>
      </c>
      <c r="C82" t="s">
        <v>458</v>
      </c>
      <c r="D82" t="s">
        <v>459</v>
      </c>
      <c r="E82" t="e">
        <f>VLOOKUP(B82,data1,2,FALSE)</f>
        <v>#N/A</v>
      </c>
    </row>
    <row r="83" spans="1:5" x14ac:dyDescent="0.3">
      <c r="E83" t="e">
        <f>VLOOKUP(B83,data1,2,FALSE)</f>
        <v>#N/A</v>
      </c>
    </row>
    <row r="84" spans="1:5" x14ac:dyDescent="0.3">
      <c r="A84" t="s">
        <v>258</v>
      </c>
      <c r="B84" t="s">
        <v>460</v>
      </c>
      <c r="C84" t="s">
        <v>461</v>
      </c>
      <c r="D84" t="s">
        <v>462</v>
      </c>
      <c r="E84" t="e">
        <f>VLOOKUP(B84,data1,2,FALSE)</f>
        <v>#N/A</v>
      </c>
    </row>
    <row r="85" spans="1:5" x14ac:dyDescent="0.3">
      <c r="A85" t="s">
        <v>258</v>
      </c>
      <c r="B85" t="s">
        <v>463</v>
      </c>
      <c r="C85" t="s">
        <v>464</v>
      </c>
      <c r="D85" t="s">
        <v>465</v>
      </c>
      <c r="E85" t="e">
        <f>VLOOKUP(B85,data1,2,FALSE)</f>
        <v>#N/A</v>
      </c>
    </row>
    <row r="86" spans="1:5" x14ac:dyDescent="0.3">
      <c r="A86" t="s">
        <v>258</v>
      </c>
      <c r="B86" t="s">
        <v>466</v>
      </c>
      <c r="C86" t="s">
        <v>467</v>
      </c>
      <c r="D86" t="s">
        <v>468</v>
      </c>
      <c r="E86" t="e">
        <f>VLOOKUP(B86,data1,2,FALSE)</f>
        <v>#N/A</v>
      </c>
    </row>
    <row r="87" spans="1:5" x14ac:dyDescent="0.3">
      <c r="E87" t="e">
        <f>VLOOKUP(B87,data1,2,FALSE)</f>
        <v>#N/A</v>
      </c>
    </row>
    <row r="88" spans="1:5" x14ac:dyDescent="0.3">
      <c r="A88" t="s">
        <v>258</v>
      </c>
      <c r="B88" t="s">
        <v>469</v>
      </c>
      <c r="C88" t="s">
        <v>470</v>
      </c>
      <c r="D88" t="s">
        <v>471</v>
      </c>
      <c r="E88" t="e">
        <f>VLOOKUP(B88,data1,2,FALSE)</f>
        <v>#N/A</v>
      </c>
    </row>
    <row r="89" spans="1:5" x14ac:dyDescent="0.3">
      <c r="A89" t="s">
        <v>258</v>
      </c>
      <c r="B89" t="s">
        <v>472</v>
      </c>
      <c r="C89" t="s">
        <v>473</v>
      </c>
      <c r="D89" t="s">
        <v>474</v>
      </c>
      <c r="E89" t="e">
        <f>VLOOKUP(B89,data1,2,FALSE)</f>
        <v>#N/A</v>
      </c>
    </row>
    <row r="90" spans="1:5" x14ac:dyDescent="0.3">
      <c r="A90" t="s">
        <v>258</v>
      </c>
      <c r="B90" t="s">
        <v>475</v>
      </c>
      <c r="C90" t="s">
        <v>476</v>
      </c>
      <c r="D90" t="s">
        <v>477</v>
      </c>
      <c r="E90" t="e">
        <f>VLOOKUP(B90,data1,2,FALSE)</f>
        <v>#N/A</v>
      </c>
    </row>
    <row r="91" spans="1:5" x14ac:dyDescent="0.3">
      <c r="A91" t="s">
        <v>258</v>
      </c>
      <c r="B91" t="s">
        <v>478</v>
      </c>
      <c r="C91" t="s">
        <v>479</v>
      </c>
      <c r="D91" t="s">
        <v>480</v>
      </c>
      <c r="E91" t="e">
        <f>VLOOKUP(B91,data1,2,FALSE)</f>
        <v>#N/A</v>
      </c>
    </row>
    <row r="92" spans="1:5" x14ac:dyDescent="0.3">
      <c r="A92" t="s">
        <v>258</v>
      </c>
      <c r="B92" t="s">
        <v>481</v>
      </c>
      <c r="C92" t="s">
        <v>482</v>
      </c>
      <c r="D92" t="s">
        <v>483</v>
      </c>
      <c r="E92" t="e">
        <f>VLOOKUP(B92,data1,2,FALSE)</f>
        <v>#N/A</v>
      </c>
    </row>
    <row r="93" spans="1:5" x14ac:dyDescent="0.3">
      <c r="A93" t="s">
        <v>258</v>
      </c>
      <c r="B93" t="s">
        <v>484</v>
      </c>
      <c r="C93" t="s">
        <v>485</v>
      </c>
      <c r="D93" t="s">
        <v>486</v>
      </c>
      <c r="E93" t="e">
        <f>VLOOKUP(B93,data1,2,FALSE)</f>
        <v>#N/A</v>
      </c>
    </row>
    <row r="94" spans="1:5" x14ac:dyDescent="0.3">
      <c r="A94" t="s">
        <v>258</v>
      </c>
      <c r="B94" t="s">
        <v>487</v>
      </c>
      <c r="C94" t="s">
        <v>488</v>
      </c>
      <c r="D94" t="s">
        <v>489</v>
      </c>
      <c r="E94" t="e">
        <f>VLOOKUP(B94,data1,2,FALSE)</f>
        <v>#N/A</v>
      </c>
    </row>
    <row r="95" spans="1:5" x14ac:dyDescent="0.3">
      <c r="A95" t="s">
        <v>258</v>
      </c>
      <c r="B95" t="s">
        <v>490</v>
      </c>
      <c r="C95" t="s">
        <v>491</v>
      </c>
      <c r="D95" t="s">
        <v>492</v>
      </c>
      <c r="E95" t="e">
        <f>VLOOKUP(B95,data1,2,FALSE)</f>
        <v>#N/A</v>
      </c>
    </row>
    <row r="96" spans="1:5" x14ac:dyDescent="0.3">
      <c r="E96" t="e">
        <f>VLOOKUP(B96,data1,2,FALSE)</f>
        <v>#N/A</v>
      </c>
    </row>
    <row r="97" spans="1:5" x14ac:dyDescent="0.3">
      <c r="A97" t="s">
        <v>258</v>
      </c>
      <c r="B97" t="s">
        <v>493</v>
      </c>
      <c r="C97" t="s">
        <v>494</v>
      </c>
      <c r="D97" t="s">
        <v>495</v>
      </c>
      <c r="E97" t="e">
        <f>VLOOKUP(B97,data1,2,FALSE)</f>
        <v>#N/A</v>
      </c>
    </row>
    <row r="98" spans="1:5" x14ac:dyDescent="0.3">
      <c r="E98" t="e">
        <f>VLOOKUP(B98,data1,2,FALSE)</f>
        <v>#N/A</v>
      </c>
    </row>
    <row r="99" spans="1:5" x14ac:dyDescent="0.3">
      <c r="A99" t="s">
        <v>258</v>
      </c>
      <c r="B99" t="s">
        <v>496</v>
      </c>
      <c r="C99" t="s">
        <v>497</v>
      </c>
      <c r="D99" t="s">
        <v>498</v>
      </c>
      <c r="E99" t="e">
        <f>VLOOKUP(B99,data1,2,FALSE)</f>
        <v>#N/A</v>
      </c>
    </row>
    <row r="100" spans="1:5" x14ac:dyDescent="0.3">
      <c r="A100" t="s">
        <v>258</v>
      </c>
      <c r="B100" t="s">
        <v>499</v>
      </c>
      <c r="C100" t="s">
        <v>500</v>
      </c>
      <c r="D100" t="s">
        <v>501</v>
      </c>
      <c r="E100" t="e">
        <f>VLOOKUP(B100,data1,2,FALSE)</f>
        <v>#N/A</v>
      </c>
    </row>
    <row r="101" spans="1:5" x14ac:dyDescent="0.3">
      <c r="A101" t="s">
        <v>258</v>
      </c>
      <c r="B101" t="s">
        <v>502</v>
      </c>
      <c r="C101" t="s">
        <v>503</v>
      </c>
      <c r="D101" t="s">
        <v>504</v>
      </c>
      <c r="E101" t="e">
        <f>VLOOKUP(B101,data1,2,FALSE)</f>
        <v>#N/A</v>
      </c>
    </row>
    <row r="102" spans="1:5" x14ac:dyDescent="0.3">
      <c r="A102" t="s">
        <v>258</v>
      </c>
      <c r="B102" t="s">
        <v>505</v>
      </c>
      <c r="C102" t="s">
        <v>506</v>
      </c>
      <c r="D102" t="s">
        <v>507</v>
      </c>
      <c r="E102" t="e">
        <f>VLOOKUP(B102,data1,2,FALSE)</f>
        <v>#N/A</v>
      </c>
    </row>
    <row r="103" spans="1:5" x14ac:dyDescent="0.3">
      <c r="E103" t="e">
        <f>VLOOKUP(B103,data1,2,FALSE)</f>
        <v>#N/A</v>
      </c>
    </row>
    <row r="104" spans="1:5" x14ac:dyDescent="0.3">
      <c r="A104" t="s">
        <v>258</v>
      </c>
      <c r="B104" t="s">
        <v>508</v>
      </c>
      <c r="C104" t="s">
        <v>509</v>
      </c>
      <c r="D104" t="s">
        <v>510</v>
      </c>
      <c r="E104" t="e">
        <f>VLOOKUP(B104,data1,2,FALSE)</f>
        <v>#N/A</v>
      </c>
    </row>
    <row r="105" spans="1:5" x14ac:dyDescent="0.3">
      <c r="A105" t="s">
        <v>258</v>
      </c>
      <c r="B105" t="s">
        <v>511</v>
      </c>
      <c r="C105" t="s">
        <v>512</v>
      </c>
      <c r="D105" t="s">
        <v>513</v>
      </c>
      <c r="E105" t="e">
        <f>VLOOKUP(B105,data1,2,FALSE)</f>
        <v>#N/A</v>
      </c>
    </row>
    <row r="106" spans="1:5" x14ac:dyDescent="0.3">
      <c r="E106" t="e">
        <f>VLOOKUP(B106,data1,2,FALSE)</f>
        <v>#N/A</v>
      </c>
    </row>
    <row r="107" spans="1:5" x14ac:dyDescent="0.3">
      <c r="A107" t="s">
        <v>258</v>
      </c>
      <c r="B107" t="s">
        <v>514</v>
      </c>
      <c r="C107" t="s">
        <v>515</v>
      </c>
      <c r="D107" t="s">
        <v>516</v>
      </c>
      <c r="E107" t="e">
        <f>VLOOKUP(B107,data1,2,FALSE)</f>
        <v>#N/A</v>
      </c>
    </row>
    <row r="108" spans="1:5" x14ac:dyDescent="0.3">
      <c r="E108" t="e">
        <f>VLOOKUP(B108,data1,2,FALSE)</f>
        <v>#N/A</v>
      </c>
    </row>
    <row r="109" spans="1:5" x14ac:dyDescent="0.3">
      <c r="A109" t="s">
        <v>258</v>
      </c>
      <c r="B109" t="s">
        <v>517</v>
      </c>
      <c r="C109" t="s">
        <v>518</v>
      </c>
      <c r="D109" t="s">
        <v>519</v>
      </c>
      <c r="E109" t="e">
        <f>VLOOKUP(B109,data1,2,FALSE)</f>
        <v>#N/A</v>
      </c>
    </row>
    <row r="110" spans="1:5" x14ac:dyDescent="0.3">
      <c r="A110" t="s">
        <v>258</v>
      </c>
      <c r="B110" t="s">
        <v>520</v>
      </c>
      <c r="C110" t="s">
        <v>521</v>
      </c>
      <c r="D110" t="s">
        <v>522</v>
      </c>
      <c r="E110" t="e">
        <f>VLOOKUP(B110,data1,2,FALSE)</f>
        <v>#N/A</v>
      </c>
    </row>
    <row r="111" spans="1:5" x14ac:dyDescent="0.3">
      <c r="A111" t="s">
        <v>258</v>
      </c>
      <c r="B111" t="s">
        <v>523</v>
      </c>
      <c r="C111" t="s">
        <v>524</v>
      </c>
      <c r="D111" t="s">
        <v>525</v>
      </c>
      <c r="E111" t="e">
        <f>VLOOKUP(B111,data1,2,FALSE)</f>
        <v>#N/A</v>
      </c>
    </row>
    <row r="112" spans="1:5" x14ac:dyDescent="0.3">
      <c r="A112" t="s">
        <v>258</v>
      </c>
      <c r="B112" t="s">
        <v>526</v>
      </c>
      <c r="C112" t="s">
        <v>527</v>
      </c>
      <c r="D112" t="s">
        <v>528</v>
      </c>
      <c r="E112" t="e">
        <f>VLOOKUP(B112,data1,2,FALSE)</f>
        <v>#N/A</v>
      </c>
    </row>
    <row r="113" spans="1:5" x14ac:dyDescent="0.3">
      <c r="A113" t="s">
        <v>258</v>
      </c>
      <c r="B113" t="s">
        <v>529</v>
      </c>
      <c r="C113" t="s">
        <v>530</v>
      </c>
      <c r="D113" t="s">
        <v>531</v>
      </c>
      <c r="E113" t="e">
        <f>VLOOKUP(B113,data1,2,FALSE)</f>
        <v>#N/A</v>
      </c>
    </row>
    <row r="114" spans="1:5" x14ac:dyDescent="0.3">
      <c r="A114" t="s">
        <v>258</v>
      </c>
      <c r="B114" t="s">
        <v>532</v>
      </c>
      <c r="C114" t="s">
        <v>533</v>
      </c>
      <c r="D114" t="s">
        <v>534</v>
      </c>
      <c r="E114" t="e">
        <f>VLOOKUP(B114,data1,2,FALSE)</f>
        <v>#N/A</v>
      </c>
    </row>
    <row r="115" spans="1:5" x14ac:dyDescent="0.3">
      <c r="A115" t="s">
        <v>258</v>
      </c>
      <c r="B115" t="s">
        <v>535</v>
      </c>
      <c r="C115" t="s">
        <v>536</v>
      </c>
      <c r="D115" t="s">
        <v>537</v>
      </c>
      <c r="E115" t="e">
        <f>VLOOKUP(B115,data1,2,FALSE)</f>
        <v>#N/A</v>
      </c>
    </row>
    <row r="116" spans="1:5" x14ac:dyDescent="0.3">
      <c r="A116" t="s">
        <v>258</v>
      </c>
      <c r="B116" t="s">
        <v>538</v>
      </c>
      <c r="C116" t="s">
        <v>539</v>
      </c>
      <c r="D116" t="s">
        <v>540</v>
      </c>
      <c r="E116" t="e">
        <f>VLOOKUP(B116,data1,2,FALSE)</f>
        <v>#N/A</v>
      </c>
    </row>
    <row r="117" spans="1:5" x14ac:dyDescent="0.3">
      <c r="A117" t="s">
        <v>258</v>
      </c>
      <c r="B117" t="s">
        <v>541</v>
      </c>
      <c r="C117" t="s">
        <v>542</v>
      </c>
      <c r="D117" t="s">
        <v>543</v>
      </c>
      <c r="E117" t="e">
        <f>VLOOKUP(B117,data1,2,FALSE)</f>
        <v>#N/A</v>
      </c>
    </row>
    <row r="118" spans="1:5" x14ac:dyDescent="0.3">
      <c r="A118" t="s">
        <v>258</v>
      </c>
      <c r="B118" t="s">
        <v>544</v>
      </c>
      <c r="C118" t="s">
        <v>545</v>
      </c>
      <c r="D118" t="s">
        <v>546</v>
      </c>
      <c r="E118" t="e">
        <f>VLOOKUP(B118,data1,2,FALSE)</f>
        <v>#N/A</v>
      </c>
    </row>
    <row r="119" spans="1:5" x14ac:dyDescent="0.3">
      <c r="A119" t="s">
        <v>258</v>
      </c>
      <c r="B119" t="s">
        <v>547</v>
      </c>
      <c r="C119" t="s">
        <v>548</v>
      </c>
      <c r="D119" t="s">
        <v>549</v>
      </c>
      <c r="E119" t="e">
        <f>VLOOKUP(B119,data1,2,FALSE)</f>
        <v>#N/A</v>
      </c>
    </row>
    <row r="120" spans="1:5" x14ac:dyDescent="0.3">
      <c r="A120" t="s">
        <v>258</v>
      </c>
      <c r="B120" t="s">
        <v>550</v>
      </c>
      <c r="C120" t="s">
        <v>551</v>
      </c>
      <c r="D120" t="s">
        <v>552</v>
      </c>
      <c r="E120" t="e">
        <f>VLOOKUP(B120,data1,2,FALSE)</f>
        <v>#N/A</v>
      </c>
    </row>
    <row r="121" spans="1:5" x14ac:dyDescent="0.3">
      <c r="E121" t="e">
        <f>VLOOKUP(B121,data1,2,FALSE)</f>
        <v>#N/A</v>
      </c>
    </row>
    <row r="122" spans="1:5" x14ac:dyDescent="0.3">
      <c r="A122" t="s">
        <v>258</v>
      </c>
      <c r="B122" t="s">
        <v>553</v>
      </c>
      <c r="C122" t="s">
        <v>554</v>
      </c>
      <c r="D122" t="s">
        <v>555</v>
      </c>
      <c r="E122" t="e">
        <f>VLOOKUP(B122,data1,2,FALSE)</f>
        <v>#N/A</v>
      </c>
    </row>
    <row r="123" spans="1:5" x14ac:dyDescent="0.3">
      <c r="E123" t="e">
        <f>VLOOKUP(B123,data1,2,FALSE)</f>
        <v>#N/A</v>
      </c>
    </row>
    <row r="124" spans="1:5" x14ac:dyDescent="0.3">
      <c r="A124" t="s">
        <v>258</v>
      </c>
      <c r="B124" t="s">
        <v>556</v>
      </c>
      <c r="C124" t="s">
        <v>557</v>
      </c>
      <c r="D124" t="s">
        <v>558</v>
      </c>
      <c r="E124" t="e">
        <f>VLOOKUP(B124,data1,2,FALSE)</f>
        <v>#N/A</v>
      </c>
    </row>
    <row r="125" spans="1:5" x14ac:dyDescent="0.3">
      <c r="A125" t="s">
        <v>258</v>
      </c>
      <c r="B125" t="s">
        <v>559</v>
      </c>
      <c r="C125" t="s">
        <v>560</v>
      </c>
      <c r="D125" t="s">
        <v>561</v>
      </c>
      <c r="E125" t="e">
        <f>VLOOKUP(B125,data1,2,FALSE)</f>
        <v>#N/A</v>
      </c>
    </row>
    <row r="126" spans="1:5" x14ac:dyDescent="0.3">
      <c r="A126" t="s">
        <v>258</v>
      </c>
      <c r="B126" t="s">
        <v>562</v>
      </c>
      <c r="C126" t="s">
        <v>563</v>
      </c>
      <c r="D126" t="s">
        <v>564</v>
      </c>
      <c r="E126" t="e">
        <f>VLOOKUP(B126,data1,2,FALSE)</f>
        <v>#N/A</v>
      </c>
    </row>
    <row r="127" spans="1:5" x14ac:dyDescent="0.3">
      <c r="A127" t="s">
        <v>258</v>
      </c>
      <c r="B127" t="s">
        <v>565</v>
      </c>
      <c r="C127" t="s">
        <v>566</v>
      </c>
      <c r="D127" t="s">
        <v>567</v>
      </c>
      <c r="E127" t="e">
        <f>VLOOKUP(B127,data1,2,FALSE)</f>
        <v>#N/A</v>
      </c>
    </row>
    <row r="128" spans="1:5" x14ac:dyDescent="0.3">
      <c r="A128" t="s">
        <v>258</v>
      </c>
      <c r="B128" t="s">
        <v>568</v>
      </c>
      <c r="C128" t="s">
        <v>569</v>
      </c>
      <c r="D128" t="s">
        <v>570</v>
      </c>
      <c r="E128" t="e">
        <f>VLOOKUP(B128,data1,2,FALSE)</f>
        <v>#N/A</v>
      </c>
    </row>
    <row r="129" spans="1:5" x14ac:dyDescent="0.3">
      <c r="A129" t="s">
        <v>258</v>
      </c>
      <c r="B129" t="s">
        <v>571</v>
      </c>
      <c r="C129" t="s">
        <v>572</v>
      </c>
      <c r="D129" t="s">
        <v>573</v>
      </c>
      <c r="E129" t="e">
        <f>VLOOKUP(B129,data1,2,FALSE)</f>
        <v>#N/A</v>
      </c>
    </row>
    <row r="130" spans="1:5" x14ac:dyDescent="0.3">
      <c r="A130" t="s">
        <v>258</v>
      </c>
      <c r="B130" t="s">
        <v>574</v>
      </c>
      <c r="C130" t="s">
        <v>575</v>
      </c>
      <c r="D130" t="s">
        <v>576</v>
      </c>
      <c r="E130" t="e">
        <f>VLOOKUP(B130,data1,2,FALSE)</f>
        <v>#N/A</v>
      </c>
    </row>
    <row r="131" spans="1:5" x14ac:dyDescent="0.3">
      <c r="A131" t="s">
        <v>258</v>
      </c>
      <c r="B131" t="s">
        <v>577</v>
      </c>
      <c r="C131" t="s">
        <v>578</v>
      </c>
      <c r="D131" t="s">
        <v>579</v>
      </c>
      <c r="E131" t="e">
        <f>VLOOKUP(B131,data1,2,FALSE)</f>
        <v>#N/A</v>
      </c>
    </row>
    <row r="132" spans="1:5" x14ac:dyDescent="0.3">
      <c r="A132" t="s">
        <v>258</v>
      </c>
      <c r="B132" t="s">
        <v>580</v>
      </c>
      <c r="C132" t="s">
        <v>581</v>
      </c>
      <c r="D132" t="s">
        <v>582</v>
      </c>
      <c r="E132" t="e">
        <f>VLOOKUP(B132,data1,2,FALSE)</f>
        <v>#N/A</v>
      </c>
    </row>
    <row r="133" spans="1:5" x14ac:dyDescent="0.3">
      <c r="A133" t="s">
        <v>258</v>
      </c>
      <c r="B133" t="s">
        <v>583</v>
      </c>
      <c r="C133" t="s">
        <v>584</v>
      </c>
      <c r="D133" t="s">
        <v>585</v>
      </c>
      <c r="E133" t="e">
        <f>VLOOKUP(B133,data1,2,FALSE)</f>
        <v>#N/A</v>
      </c>
    </row>
    <row r="134" spans="1:5" x14ac:dyDescent="0.3">
      <c r="A134" t="s">
        <v>258</v>
      </c>
      <c r="B134" t="s">
        <v>586</v>
      </c>
      <c r="C134" t="s">
        <v>587</v>
      </c>
      <c r="D134" t="s">
        <v>588</v>
      </c>
      <c r="E134" t="e">
        <f>VLOOKUP(B134,data1,2,FALSE)</f>
        <v>#N/A</v>
      </c>
    </row>
    <row r="135" spans="1:5" x14ac:dyDescent="0.3">
      <c r="A135" t="s">
        <v>258</v>
      </c>
      <c r="B135" t="s">
        <v>589</v>
      </c>
      <c r="C135" t="s">
        <v>590</v>
      </c>
      <c r="D135" t="s">
        <v>591</v>
      </c>
      <c r="E135" t="e">
        <f>VLOOKUP(B135,data1,2,FALSE)</f>
        <v>#N/A</v>
      </c>
    </row>
    <row r="136" spans="1:5" x14ac:dyDescent="0.3">
      <c r="A136" t="s">
        <v>258</v>
      </c>
      <c r="B136" t="s">
        <v>592</v>
      </c>
      <c r="C136" t="s">
        <v>593</v>
      </c>
      <c r="D136" t="s">
        <v>594</v>
      </c>
      <c r="E136" t="e">
        <f>VLOOKUP(B136,data1,2,FALSE)</f>
        <v>#N/A</v>
      </c>
    </row>
    <row r="137" spans="1:5" x14ac:dyDescent="0.3">
      <c r="A137" t="s">
        <v>258</v>
      </c>
      <c r="B137" t="s">
        <v>595</v>
      </c>
      <c r="C137" t="s">
        <v>596</v>
      </c>
      <c r="D137" t="s">
        <v>597</v>
      </c>
      <c r="E137" t="e">
        <f>VLOOKUP(B137,data1,2,FALSE)</f>
        <v>#N/A</v>
      </c>
    </row>
    <row r="138" spans="1:5" x14ac:dyDescent="0.3">
      <c r="A138" t="s">
        <v>258</v>
      </c>
      <c r="B138" t="s">
        <v>598</v>
      </c>
      <c r="C138" t="s">
        <v>599</v>
      </c>
      <c r="D138" t="s">
        <v>600</v>
      </c>
      <c r="E138" t="e">
        <f>VLOOKUP(B138,data1,2,FALSE)</f>
        <v>#N/A</v>
      </c>
    </row>
    <row r="139" spans="1:5" x14ac:dyDescent="0.3">
      <c r="A139" t="s">
        <v>258</v>
      </c>
      <c r="B139" t="s">
        <v>601</v>
      </c>
      <c r="C139" t="s">
        <v>602</v>
      </c>
      <c r="D139" t="s">
        <v>603</v>
      </c>
      <c r="E139" t="e">
        <f>VLOOKUP(B139,data1,2,FALSE)</f>
        <v>#N/A</v>
      </c>
    </row>
    <row r="140" spans="1:5" x14ac:dyDescent="0.3">
      <c r="A140" t="s">
        <v>258</v>
      </c>
      <c r="B140" t="s">
        <v>604</v>
      </c>
      <c r="C140" t="s">
        <v>605</v>
      </c>
      <c r="D140" t="s">
        <v>606</v>
      </c>
      <c r="E140" t="e">
        <f>VLOOKUP(B140,data1,2,FALSE)</f>
        <v>#N/A</v>
      </c>
    </row>
    <row r="141" spans="1:5" x14ac:dyDescent="0.3">
      <c r="A141" t="s">
        <v>258</v>
      </c>
      <c r="B141" t="s">
        <v>607</v>
      </c>
      <c r="C141" t="s">
        <v>608</v>
      </c>
      <c r="D141" t="s">
        <v>609</v>
      </c>
      <c r="E141" t="e">
        <f>VLOOKUP(B141,data1,2,FALSE)</f>
        <v>#N/A</v>
      </c>
    </row>
    <row r="142" spans="1:5" x14ac:dyDescent="0.3">
      <c r="E142" t="e">
        <f>VLOOKUP(B142,data1,2,FALSE)</f>
        <v>#N/A</v>
      </c>
    </row>
    <row r="143" spans="1:5" x14ac:dyDescent="0.3">
      <c r="A143" t="s">
        <v>258</v>
      </c>
      <c r="B143" t="s">
        <v>610</v>
      </c>
      <c r="C143" t="s">
        <v>611</v>
      </c>
      <c r="D143" t="s">
        <v>612</v>
      </c>
      <c r="E143" t="e">
        <f>VLOOKUP(B143,data1,2,FALSE)</f>
        <v>#N/A</v>
      </c>
    </row>
    <row r="144" spans="1:5" x14ac:dyDescent="0.3">
      <c r="A144" t="s">
        <v>258</v>
      </c>
      <c r="B144" t="s">
        <v>613</v>
      </c>
      <c r="C144" t="s">
        <v>614</v>
      </c>
      <c r="D144" t="s">
        <v>615</v>
      </c>
      <c r="E144" t="e">
        <f>VLOOKUP(B144,data1,2,FALSE)</f>
        <v>#N/A</v>
      </c>
    </row>
    <row r="145" spans="1:5" x14ac:dyDescent="0.3">
      <c r="A145" t="s">
        <v>258</v>
      </c>
      <c r="B145" t="s">
        <v>616</v>
      </c>
      <c r="C145" t="s">
        <v>617</v>
      </c>
      <c r="D145" t="s">
        <v>618</v>
      </c>
      <c r="E145" t="e">
        <f>VLOOKUP(B145,data1,2,FALSE)</f>
        <v>#N/A</v>
      </c>
    </row>
    <row r="146" spans="1:5" x14ac:dyDescent="0.3">
      <c r="E146" t="e">
        <f>VLOOKUP(B146,data1,2,FALSE)</f>
        <v>#N/A</v>
      </c>
    </row>
    <row r="147" spans="1:5" x14ac:dyDescent="0.3">
      <c r="A147" t="s">
        <v>258</v>
      </c>
      <c r="B147" t="s">
        <v>619</v>
      </c>
      <c r="C147" t="s">
        <v>620</v>
      </c>
      <c r="D147" t="s">
        <v>621</v>
      </c>
      <c r="E147" t="e">
        <f>VLOOKUP(B147,data1,2,FALSE)</f>
        <v>#N/A</v>
      </c>
    </row>
    <row r="148" spans="1:5" x14ac:dyDescent="0.3">
      <c r="A148" t="s">
        <v>258</v>
      </c>
      <c r="B148" t="s">
        <v>622</v>
      </c>
      <c r="C148" t="s">
        <v>623</v>
      </c>
      <c r="D148" t="s">
        <v>624</v>
      </c>
      <c r="E148" t="e">
        <f>VLOOKUP(B148,data1,2,FALSE)</f>
        <v>#N/A</v>
      </c>
    </row>
    <row r="149" spans="1:5" x14ac:dyDescent="0.3">
      <c r="A149" t="s">
        <v>258</v>
      </c>
      <c r="B149" t="s">
        <v>625</v>
      </c>
      <c r="C149" t="s">
        <v>626</v>
      </c>
      <c r="D149" t="s">
        <v>627</v>
      </c>
      <c r="E149" t="e">
        <f>VLOOKUP(B149,data1,2,FALSE)</f>
        <v>#N/A</v>
      </c>
    </row>
    <row r="150" spans="1:5" x14ac:dyDescent="0.3">
      <c r="E150" t="e">
        <f>VLOOKUP(B150,data1,2,FALSE)</f>
        <v>#N/A</v>
      </c>
    </row>
    <row r="151" spans="1:5" x14ac:dyDescent="0.3">
      <c r="A151" t="s">
        <v>258</v>
      </c>
      <c r="B151" t="s">
        <v>628</v>
      </c>
      <c r="C151" t="s">
        <v>629</v>
      </c>
      <c r="D151" t="s">
        <v>261</v>
      </c>
      <c r="E151" t="e">
        <f>VLOOKUP(B151,data1,2,FALSE)</f>
        <v>#N/A</v>
      </c>
    </row>
    <row r="152" spans="1:5" x14ac:dyDescent="0.3">
      <c r="A152" t="s">
        <v>258</v>
      </c>
      <c r="B152" t="s">
        <v>630</v>
      </c>
      <c r="C152" t="s">
        <v>631</v>
      </c>
      <c r="D152" t="s">
        <v>632</v>
      </c>
      <c r="E152" t="e">
        <f>VLOOKUP(B152,data1,2,FALSE)</f>
        <v>#N/A</v>
      </c>
    </row>
    <row r="153" spans="1:5" x14ac:dyDescent="0.3">
      <c r="A153" t="s">
        <v>258</v>
      </c>
      <c r="B153" t="s">
        <v>633</v>
      </c>
      <c r="C153" t="s">
        <v>634</v>
      </c>
      <c r="D153" t="s">
        <v>635</v>
      </c>
      <c r="E153" t="e">
        <f>VLOOKUP(B153,data1,2,FALSE)</f>
        <v>#N/A</v>
      </c>
    </row>
    <row r="154" spans="1:5" x14ac:dyDescent="0.3">
      <c r="A154" t="s">
        <v>258</v>
      </c>
      <c r="B154" t="s">
        <v>636</v>
      </c>
      <c r="C154" t="s">
        <v>637</v>
      </c>
      <c r="D154" t="s">
        <v>261</v>
      </c>
      <c r="E154" t="e">
        <f>VLOOKUP(B154,data1,2,FALSE)</f>
        <v>#N/A</v>
      </c>
    </row>
    <row r="155" spans="1:5" x14ac:dyDescent="0.3">
      <c r="A155" t="s">
        <v>258</v>
      </c>
      <c r="B155" t="s">
        <v>638</v>
      </c>
      <c r="C155" t="s">
        <v>639</v>
      </c>
      <c r="D155" t="s">
        <v>640</v>
      </c>
      <c r="E155" t="e">
        <f>VLOOKUP(B155,data1,2,FALSE)</f>
        <v>#N/A</v>
      </c>
    </row>
    <row r="156" spans="1:5" x14ac:dyDescent="0.3">
      <c r="A156" t="s">
        <v>258</v>
      </c>
      <c r="B156" t="s">
        <v>641</v>
      </c>
      <c r="C156" t="s">
        <v>642</v>
      </c>
      <c r="D156" t="s">
        <v>261</v>
      </c>
      <c r="E156" t="e">
        <f>VLOOKUP(B156,data1,2,FALSE)</f>
        <v>#N/A</v>
      </c>
    </row>
    <row r="157" spans="1:5" x14ac:dyDescent="0.3">
      <c r="A157" t="s">
        <v>258</v>
      </c>
      <c r="B157" t="s">
        <v>643</v>
      </c>
      <c r="C157" t="s">
        <v>644</v>
      </c>
      <c r="D157" t="s">
        <v>645</v>
      </c>
      <c r="E157" t="e">
        <f>VLOOKUP(B157,data1,2,FALSE)</f>
        <v>#N/A</v>
      </c>
    </row>
    <row r="158" spans="1:5" x14ac:dyDescent="0.3">
      <c r="A158" t="s">
        <v>258</v>
      </c>
      <c r="B158" t="s">
        <v>646</v>
      </c>
      <c r="C158" t="s">
        <v>647</v>
      </c>
      <c r="D158" t="s">
        <v>648</v>
      </c>
      <c r="E158" t="e">
        <f>VLOOKUP(B158,data1,2,FALSE)</f>
        <v>#N/A</v>
      </c>
    </row>
    <row r="159" spans="1:5" x14ac:dyDescent="0.3">
      <c r="A159" t="s">
        <v>258</v>
      </c>
      <c r="B159" t="s">
        <v>649</v>
      </c>
      <c r="C159" t="s">
        <v>650</v>
      </c>
      <c r="D159" t="s">
        <v>651</v>
      </c>
      <c r="E159" t="e">
        <f>VLOOKUP(B159,data1,2,FALSE)</f>
        <v>#N/A</v>
      </c>
    </row>
    <row r="160" spans="1:5" x14ac:dyDescent="0.3">
      <c r="A160" t="s">
        <v>258</v>
      </c>
      <c r="B160" t="s">
        <v>652</v>
      </c>
      <c r="C160" t="s">
        <v>653</v>
      </c>
      <c r="D160" t="s">
        <v>654</v>
      </c>
      <c r="E160" t="e">
        <f>VLOOKUP(B160,data1,2,FALSE)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F095-3DBC-4763-B8D6-F051212B3C00}">
  <dimension ref="A1:F160"/>
  <sheetViews>
    <sheetView topLeftCell="A142" workbookViewId="0">
      <selection activeCell="E1" sqref="E1:E160"/>
    </sheetView>
  </sheetViews>
  <sheetFormatPr defaultRowHeight="14.4" x14ac:dyDescent="0.3"/>
  <cols>
    <col min="3" max="3" width="37.77734375" customWidth="1"/>
    <col min="4" max="4" width="38.5546875" customWidth="1"/>
  </cols>
  <sheetData>
    <row r="1" spans="1:6" x14ac:dyDescent="0.3">
      <c r="A1" t="s">
        <v>258</v>
      </c>
      <c r="B1" t="s">
        <v>668</v>
      </c>
      <c r="C1" t="s">
        <v>804</v>
      </c>
      <c r="D1" t="s">
        <v>261</v>
      </c>
      <c r="E1" t="str">
        <f>VLOOKUP(B1,data1,2,FALSE)</f>
        <v>What is your nationality?</v>
      </c>
      <c r="F1" t="str">
        <f>TRIM(C1)</f>
        <v>What is your nationality?</v>
      </c>
    </row>
    <row r="2" spans="1:6" x14ac:dyDescent="0.3">
      <c r="A2" t="s">
        <v>258</v>
      </c>
      <c r="B2" t="s">
        <v>669</v>
      </c>
      <c r="C2" t="s">
        <v>805</v>
      </c>
      <c r="D2" t="s">
        <v>263</v>
      </c>
      <c r="E2" t="str">
        <f>VLOOKUP(B2,data1,2,FALSE)</f>
        <v>What is your main paid job? Please give me your job title.</v>
      </c>
      <c r="F2" t="str">
        <f t="shared" ref="F2:F65" si="0">TRIM(C2)</f>
        <v>What is your main paid job? Please give me your job title.</v>
      </c>
    </row>
    <row r="3" spans="1:6" x14ac:dyDescent="0.3">
      <c r="A3" t="s">
        <v>258</v>
      </c>
      <c r="B3" t="s">
        <v>670</v>
      </c>
      <c r="C3" t="s">
        <v>806</v>
      </c>
      <c r="D3" t="s">
        <v>266</v>
      </c>
      <c r="E3" t="str">
        <f>VLOOKUP(B3,data1,2,FALSE)</f>
        <v>How old were you when you stopped your full-time education?</v>
      </c>
      <c r="F3" t="str">
        <f t="shared" si="0"/>
        <v>How old were you when you stopped your full-time education?</v>
      </c>
    </row>
    <row r="4" spans="1:6" x14ac:dyDescent="0.3">
      <c r="A4" t="s">
        <v>258</v>
      </c>
      <c r="B4" t="s">
        <v>671</v>
      </c>
      <c r="C4" t="s">
        <v>942</v>
      </c>
      <c r="D4" t="s">
        <v>656</v>
      </c>
      <c r="E4" t="str">
        <f>VLOOKUP(B4,data1,2,FALSE)</f>
        <v>Are you mainly: Self-employed (with/without employees), Employed, or Other?</v>
      </c>
      <c r="F4" t="str">
        <f t="shared" si="0"/>
        <v>Are you mainly: Self-employed (with/without employees)</v>
      </c>
    </row>
    <row r="5" spans="1:6" x14ac:dyDescent="0.3">
      <c r="B5" t="s">
        <v>943</v>
      </c>
      <c r="C5" t="s">
        <v>943</v>
      </c>
      <c r="E5" t="e">
        <f>VLOOKUP(B5,data1,2,FALSE)</f>
        <v>#N/A</v>
      </c>
      <c r="F5" t="str">
        <f t="shared" si="0"/>
        <v/>
      </c>
    </row>
    <row r="6" spans="1:6" x14ac:dyDescent="0.3">
      <c r="A6" t="s">
        <v>258</v>
      </c>
      <c r="B6" t="s">
        <v>672</v>
      </c>
      <c r="C6" t="s">
        <v>944</v>
      </c>
      <c r="D6" t="s">
        <v>271</v>
      </c>
      <c r="E6" t="str">
        <f>VLOOKUP(B6,data1,2,FALSE)</f>
        <v>(If Employed) Is it: On an unlimited permanent contract, fixed term contract, temporary employment agency contract, apprenticeship, or other?</v>
      </c>
      <c r="F6" t="str">
        <f t="shared" si="0"/>
        <v>(If Employed) Is it: permanent / fixed term / agency / apprenticeship / other?</v>
      </c>
    </row>
    <row r="7" spans="1:6" x14ac:dyDescent="0.3">
      <c r="A7" t="s">
        <v>258</v>
      </c>
      <c r="B7" t="s">
        <v>673</v>
      </c>
      <c r="C7" t="s">
        <v>945</v>
      </c>
      <c r="D7" t="s">
        <v>658</v>
      </c>
      <c r="E7" t="str">
        <f>VLOOKUP(B7,data1,2,FALSE)</f>
        <v>(If Fixed Term) What is the exact duration of the contract in number of years and months?</v>
      </c>
      <c r="F7" t="str">
        <f t="shared" si="0"/>
        <v>(If fixed term) Exact duration of the contract (years</v>
      </c>
    </row>
    <row r="8" spans="1:6" x14ac:dyDescent="0.3">
      <c r="A8" t="s">
        <v>258</v>
      </c>
      <c r="B8" t="s">
        <v>674</v>
      </c>
      <c r="C8" t="s">
        <v>810</v>
      </c>
      <c r="D8" t="s">
        <v>276</v>
      </c>
      <c r="E8" t="str">
        <f>VLOOKUP(B8,data1,2,FALSE)</f>
        <v>What is the main activity of the company or organisation where you work?</v>
      </c>
      <c r="F8" t="str">
        <f t="shared" si="0"/>
        <v>What is the main activity of the company or organisation where you work?</v>
      </c>
    </row>
    <row r="9" spans="1:6" x14ac:dyDescent="0.3">
      <c r="A9" t="s">
        <v>258</v>
      </c>
      <c r="B9" t="s">
        <v>675</v>
      </c>
      <c r="C9" t="s">
        <v>946</v>
      </c>
      <c r="D9" t="s">
        <v>279</v>
      </c>
      <c r="E9" t="str">
        <f>VLOOKUP(B9,data1,2,FALSE)</f>
        <v>Are you working in: Public sector, Private sector, Joint private-public organisation, Not for profit sector, or Other?</v>
      </c>
      <c r="F9" t="str">
        <f t="shared" si="0"/>
        <v>Sector of employment (public/private/joint/non-profit/other)</v>
      </c>
    </row>
    <row r="10" spans="1:6" x14ac:dyDescent="0.3">
      <c r="A10" t="s">
        <v>258</v>
      </c>
      <c r="B10" t="s">
        <v>676</v>
      </c>
      <c r="C10" t="s">
        <v>947</v>
      </c>
      <c r="D10" t="s">
        <v>282</v>
      </c>
      <c r="E10" t="str">
        <f>VLOOKUP(B10,data1,2,FALSE)</f>
        <v>How many people in total work in the local unit of the establishment where you work?</v>
      </c>
      <c r="F10" t="str">
        <f t="shared" si="0"/>
        <v>How many people work in your local unit?</v>
      </c>
    </row>
    <row r="11" spans="1:6" x14ac:dyDescent="0.3">
      <c r="A11" t="s">
        <v>258</v>
      </c>
      <c r="B11" t="s">
        <v>677</v>
      </c>
      <c r="C11" t="s">
        <v>948</v>
      </c>
      <c r="D11" t="s">
        <v>285</v>
      </c>
      <c r="E11" t="str">
        <f>VLOOKUP(B11,data1,2,FALSE)</f>
        <v>How many people work under your supervision, for whom pay increases, bonuses or promotion depend directly on you?</v>
      </c>
      <c r="F11" t="str">
        <f t="shared" si="0"/>
        <v>How many people work under your supervision?</v>
      </c>
    </row>
    <row r="12" spans="1:6" x14ac:dyDescent="0.3">
      <c r="A12" t="s">
        <v>258</v>
      </c>
      <c r="B12" t="s">
        <v>678</v>
      </c>
      <c r="C12" t="s">
        <v>949</v>
      </c>
      <c r="D12" t="s">
        <v>288</v>
      </c>
      <c r="E12" t="str">
        <f>VLOOKUP(B12,data1,2,FALSE)</f>
        <v>How many years have you been in your company or organisation?</v>
      </c>
      <c r="F12" t="str">
        <f t="shared" si="0"/>
        <v>How many years in your organisation?</v>
      </c>
    </row>
    <row r="13" spans="1:6" x14ac:dyDescent="0.3">
      <c r="A13" t="s">
        <v>258</v>
      </c>
      <c r="B13" t="s">
        <v>679</v>
      </c>
      <c r="C13" t="s">
        <v>950</v>
      </c>
      <c r="D13" t="s">
        <v>291</v>
      </c>
      <c r="E13" t="str">
        <f>VLOOKUP(B13,data1,2,FALSE)</f>
        <v>How many years have you been in your present main job?</v>
      </c>
      <c r="F13" t="str">
        <f t="shared" si="0"/>
        <v>How many years in your present main job?</v>
      </c>
    </row>
    <row r="14" spans="1:6" x14ac:dyDescent="0.3">
      <c r="B14" t="s">
        <v>943</v>
      </c>
      <c r="C14" t="s">
        <v>943</v>
      </c>
      <c r="E14" t="e">
        <f>VLOOKUP(B14,data1,2,FALSE)</f>
        <v>#N/A</v>
      </c>
      <c r="F14" t="str">
        <f t="shared" si="0"/>
        <v/>
      </c>
    </row>
    <row r="15" spans="1:6" x14ac:dyDescent="0.3">
      <c r="A15" t="s">
        <v>258</v>
      </c>
      <c r="B15" t="s">
        <v>680</v>
      </c>
      <c r="C15" t="s">
        <v>951</v>
      </c>
      <c r="D15" t="s">
        <v>660</v>
      </c>
      <c r="E15" t="str">
        <f>VLOOKUP(B15,data1,2,FALSE)</f>
        <v>Besides your main paid job, do you have any other paid job?</v>
      </c>
      <c r="F15" t="str">
        <f t="shared" si="0"/>
        <v>Besides your main job</v>
      </c>
    </row>
    <row r="16" spans="1:6" x14ac:dyDescent="0.3">
      <c r="A16" t="s">
        <v>258</v>
      </c>
      <c r="B16" t="s">
        <v>681</v>
      </c>
      <c r="C16" t="s">
        <v>952</v>
      </c>
      <c r="D16" t="s">
        <v>662</v>
      </c>
      <c r="E16" t="str">
        <f>VLOOKUP(B16,data1,2,FALSE)</f>
        <v>(If Yes) Is it: Regular, Occasional, or Seasonal?</v>
      </c>
      <c r="F16" t="str">
        <f t="shared" si="0"/>
        <v>(If yes) Regular</v>
      </c>
    </row>
    <row r="17" spans="1:6" x14ac:dyDescent="0.3">
      <c r="A17" t="s">
        <v>258</v>
      </c>
      <c r="B17" t="s">
        <v>682</v>
      </c>
      <c r="C17" t="s">
        <v>953</v>
      </c>
      <c r="D17" t="s">
        <v>298</v>
      </c>
      <c r="E17" t="str">
        <f>VLOOKUP(B17,data1,2,FALSE)</f>
        <v>(If Regular) How many hours a week?</v>
      </c>
      <c r="F17" t="str">
        <f t="shared" si="0"/>
        <v>(If regular) How many hours per week?</v>
      </c>
    </row>
    <row r="18" spans="1:6" x14ac:dyDescent="0.3">
      <c r="B18" t="s">
        <v>943</v>
      </c>
      <c r="C18" t="s">
        <v>943</v>
      </c>
      <c r="E18" t="e">
        <f>VLOOKUP(B18,data1,2,FALSE)</f>
        <v>#N/A</v>
      </c>
      <c r="F18" t="str">
        <f t="shared" si="0"/>
        <v/>
      </c>
    </row>
    <row r="19" spans="1:6" x14ac:dyDescent="0.3">
      <c r="A19" t="s">
        <v>258</v>
      </c>
      <c r="B19" t="s">
        <v>683</v>
      </c>
      <c r="C19" t="s">
        <v>954</v>
      </c>
      <c r="D19" t="s">
        <v>301</v>
      </c>
      <c r="E19" t="str">
        <f>VLOOKUP(B19,data1,2,FALSE)</f>
        <v>Are you exposed at work to: Vibrations from hand tools, machinery, etc.?</v>
      </c>
      <c r="F19" t="str">
        <f t="shared" si="0"/>
        <v>Exposure to vibration</v>
      </c>
    </row>
    <row r="20" spans="1:6" x14ac:dyDescent="0.3">
      <c r="A20" t="s">
        <v>258</v>
      </c>
      <c r="B20" t="s">
        <v>684</v>
      </c>
      <c r="C20" t="s">
        <v>955</v>
      </c>
      <c r="D20" t="s">
        <v>304</v>
      </c>
      <c r="E20" t="str">
        <f>VLOOKUP(B20,data1,2,FALSE)</f>
        <v>Are you exposed at work to: Noise so loud that you would have to raise your voice to talk to people?</v>
      </c>
      <c r="F20" t="str">
        <f t="shared" si="0"/>
        <v>Exposure to loud noise</v>
      </c>
    </row>
    <row r="21" spans="1:6" x14ac:dyDescent="0.3">
      <c r="A21" t="s">
        <v>258</v>
      </c>
      <c r="B21" t="s">
        <v>685</v>
      </c>
      <c r="C21" t="s">
        <v>956</v>
      </c>
      <c r="D21" t="s">
        <v>307</v>
      </c>
      <c r="E21" t="str">
        <f>VLOOKUP(B21,data1,2,FALSE)</f>
        <v>Are you exposed at work to: High temperatures which make you perspire even when not working?</v>
      </c>
      <c r="F21" t="str">
        <f t="shared" si="0"/>
        <v>Exposure to high temperatures</v>
      </c>
    </row>
    <row r="22" spans="1:6" x14ac:dyDescent="0.3">
      <c r="A22" t="s">
        <v>258</v>
      </c>
      <c r="B22" t="s">
        <v>686</v>
      </c>
      <c r="C22" t="s">
        <v>957</v>
      </c>
      <c r="D22" t="s">
        <v>310</v>
      </c>
      <c r="E22" t="str">
        <f>VLOOKUP(B22,data1,2,FALSE)</f>
        <v>Are you exposed at work to: Low temperatures whether indoors or outdoors?</v>
      </c>
      <c r="F22" t="str">
        <f t="shared" si="0"/>
        <v>Exposure to low temperatures</v>
      </c>
    </row>
    <row r="23" spans="1:6" x14ac:dyDescent="0.3">
      <c r="A23" t="s">
        <v>258</v>
      </c>
      <c r="B23" t="s">
        <v>687</v>
      </c>
      <c r="C23" t="s">
        <v>958</v>
      </c>
      <c r="D23" t="s">
        <v>664</v>
      </c>
      <c r="E23" t="str">
        <f>VLOOKUP(B23,data1,2,FALSE)</f>
        <v>Are you exposed at work to: Breathing in smoke, fumes (such as welding or exhaust fumes), powder or dust (such as wood dust or mineral dust) etc.?</v>
      </c>
      <c r="F23" t="str">
        <f t="shared" si="0"/>
        <v>Exposure to smoke</v>
      </c>
    </row>
    <row r="24" spans="1:6" x14ac:dyDescent="0.3">
      <c r="A24" t="s">
        <v>258</v>
      </c>
      <c r="B24" t="s">
        <v>688</v>
      </c>
      <c r="C24" t="s">
        <v>959</v>
      </c>
      <c r="D24" t="s">
        <v>666</v>
      </c>
      <c r="E24" t="str">
        <f>VLOOKUP(B24,data1,2,FALSE)</f>
        <v>Are you exposed at work to: Breathing in vapours such as solvents and thinners?</v>
      </c>
      <c r="F24" t="str">
        <f t="shared" si="0"/>
        <v>Exposure to vapours (solvents</v>
      </c>
    </row>
    <row r="25" spans="1:6" x14ac:dyDescent="0.3">
      <c r="A25" t="s">
        <v>258</v>
      </c>
      <c r="B25" t="s">
        <v>689</v>
      </c>
      <c r="C25" t="s">
        <v>960</v>
      </c>
      <c r="D25" t="s">
        <v>317</v>
      </c>
      <c r="E25" t="str">
        <f>VLOOKUP(B25,data1,2,FALSE)</f>
        <v>Are you exposed at work to: Handling or being in direct contact with chemical products or substances?</v>
      </c>
      <c r="F25" t="str">
        <f t="shared" si="0"/>
        <v>Contact with chemical products or substances</v>
      </c>
    </row>
    <row r="26" spans="1:6" x14ac:dyDescent="0.3">
      <c r="A26" t="s">
        <v>258</v>
      </c>
      <c r="B26" t="s">
        <v>690</v>
      </c>
      <c r="C26" t="s">
        <v>961</v>
      </c>
      <c r="D26" t="s">
        <v>667</v>
      </c>
      <c r="E26" t="str">
        <f>VLOOKUP(B26,data1,2,FALSE)</f>
        <v>Are you exposed at work to: Radiation such as X-rays, radioactive radiation, welding light, laser beams?</v>
      </c>
      <c r="F26" t="str">
        <f t="shared" si="0"/>
        <v>Exposure to radiation (X-rays</v>
      </c>
    </row>
    <row r="27" spans="1:6" x14ac:dyDescent="0.3">
      <c r="A27" t="s">
        <v>258</v>
      </c>
      <c r="B27" t="s">
        <v>691</v>
      </c>
      <c r="C27" t="s">
        <v>962</v>
      </c>
      <c r="D27" t="s">
        <v>321</v>
      </c>
      <c r="E27" t="str">
        <f>VLOOKUP(B27,data1,2,FALSE)</f>
        <v>Are you exposed at work to: Tobacco smoke from other people?</v>
      </c>
      <c r="F27" t="str">
        <f t="shared" si="0"/>
        <v>Exposure to tobacco smoke at work</v>
      </c>
    </row>
    <row r="28" spans="1:6" x14ac:dyDescent="0.3">
      <c r="A28" t="s">
        <v>258</v>
      </c>
      <c r="B28" t="s">
        <v>692</v>
      </c>
      <c r="C28" t="s">
        <v>963</v>
      </c>
      <c r="D28" t="s">
        <v>324</v>
      </c>
      <c r="E28" t="str">
        <f>VLOOKUP(B28,data1,2,FALSE)</f>
        <v>Are you exposed at work to: Handling or being in direct contact with materials which can be infectious, such as waste, bodily fluids, laboratory materials, etc.?</v>
      </c>
      <c r="F28" t="str">
        <f t="shared" si="0"/>
        <v>Contact with infectious materials</v>
      </c>
    </row>
    <row r="29" spans="1:6" x14ac:dyDescent="0.3">
      <c r="B29" t="s">
        <v>943</v>
      </c>
      <c r="C29" t="s">
        <v>943</v>
      </c>
      <c r="E29" t="e">
        <f>VLOOKUP(B29,data1,2,FALSE)</f>
        <v>#N/A</v>
      </c>
      <c r="F29" t="str">
        <f t="shared" si="0"/>
        <v/>
      </c>
    </row>
    <row r="30" spans="1:6" x14ac:dyDescent="0.3">
      <c r="A30" t="s">
        <v>258</v>
      </c>
      <c r="B30" t="s">
        <v>693</v>
      </c>
      <c r="C30" t="s">
        <v>964</v>
      </c>
      <c r="D30" t="s">
        <v>327</v>
      </c>
      <c r="E30" t="str">
        <f>VLOOKUP(B30,data1,2,FALSE)</f>
        <v>Does your main paid job involve: Tiring or painful positions?</v>
      </c>
      <c r="F30" t="str">
        <f t="shared" si="0"/>
        <v>Tiring or painful positions</v>
      </c>
    </row>
    <row r="31" spans="1:6" x14ac:dyDescent="0.3">
      <c r="A31" t="s">
        <v>258</v>
      </c>
      <c r="B31" t="s">
        <v>694</v>
      </c>
      <c r="C31" t="s">
        <v>965</v>
      </c>
      <c r="D31" t="s">
        <v>330</v>
      </c>
      <c r="E31" t="str">
        <f>VLOOKUP(B31,data1,2,FALSE)</f>
        <v>Does your main paid job involve: Lifting or moving people?</v>
      </c>
      <c r="F31" t="str">
        <f t="shared" si="0"/>
        <v>Lifting or moving people</v>
      </c>
    </row>
    <row r="32" spans="1:6" x14ac:dyDescent="0.3">
      <c r="A32" t="s">
        <v>258</v>
      </c>
      <c r="B32" t="s">
        <v>695</v>
      </c>
      <c r="C32" t="s">
        <v>966</v>
      </c>
      <c r="D32" t="s">
        <v>333</v>
      </c>
      <c r="E32" t="str">
        <f>VLOOKUP(B32,data1,2,FALSE)</f>
        <v>Does your main paid job involve: Carrying or moving heavy loads?</v>
      </c>
      <c r="F32" t="str">
        <f t="shared" si="0"/>
        <v>Carrying or moving heavy loads</v>
      </c>
    </row>
    <row r="33" spans="1:6" x14ac:dyDescent="0.3">
      <c r="A33" t="s">
        <v>258</v>
      </c>
      <c r="B33" t="s">
        <v>696</v>
      </c>
      <c r="C33" t="s">
        <v>967</v>
      </c>
      <c r="D33" t="s">
        <v>336</v>
      </c>
      <c r="E33" t="str">
        <f>VLOOKUP(B33,data1,2,FALSE)</f>
        <v>Does your main paid job involve: Standing?</v>
      </c>
      <c r="F33" t="str">
        <f t="shared" si="0"/>
        <v>Standing</v>
      </c>
    </row>
    <row r="34" spans="1:6" x14ac:dyDescent="0.3">
      <c r="A34" t="s">
        <v>258</v>
      </c>
      <c r="B34" t="s">
        <v>697</v>
      </c>
      <c r="C34" t="s">
        <v>968</v>
      </c>
      <c r="D34" t="s">
        <v>339</v>
      </c>
      <c r="E34" t="str">
        <f>VLOOKUP(B34,data1,2,FALSE)</f>
        <v>Does your main paid job involve: Repetitive hand or arm movements?</v>
      </c>
      <c r="F34" t="str">
        <f t="shared" si="0"/>
        <v>Repetitive hand or arm movements</v>
      </c>
    </row>
    <row r="35" spans="1:6" x14ac:dyDescent="0.3">
      <c r="A35" t="s">
        <v>258</v>
      </c>
      <c r="B35" t="s">
        <v>698</v>
      </c>
      <c r="C35" t="s">
        <v>969</v>
      </c>
      <c r="D35" t="s">
        <v>342</v>
      </c>
      <c r="E35" t="str">
        <f>VLOOKUP(B35,data1,2,FALSE)</f>
        <v>Does your main paid job involve: Working with computers: PCs, network, mainframe?</v>
      </c>
      <c r="F35" t="str">
        <f t="shared" si="0"/>
        <v>Working with computers</v>
      </c>
    </row>
    <row r="36" spans="1:6" x14ac:dyDescent="0.3">
      <c r="A36" t="s">
        <v>258</v>
      </c>
      <c r="B36" t="s">
        <v>699</v>
      </c>
      <c r="C36" t="s">
        <v>970</v>
      </c>
      <c r="D36" t="s">
        <v>345</v>
      </c>
      <c r="E36" t="str">
        <f>VLOOKUP(B36,data1,2,FALSE)</f>
        <v>Does your main paid job involve: Using the internet / email for professional purposes?</v>
      </c>
      <c r="F36" t="str">
        <f t="shared" si="0"/>
        <v>Using internet/email for work</v>
      </c>
    </row>
    <row r="37" spans="1:6" x14ac:dyDescent="0.3">
      <c r="A37" t="s">
        <v>258</v>
      </c>
      <c r="B37" t="s">
        <v>700</v>
      </c>
      <c r="C37" t="s">
        <v>971</v>
      </c>
      <c r="D37" t="s">
        <v>348</v>
      </c>
      <c r="E37" t="str">
        <f>VLOOKUP(B37,data1,2,FALSE)</f>
        <v>Does your main paid job involve: Teleworking from home with a PC?</v>
      </c>
      <c r="F37" t="str">
        <f t="shared" si="0"/>
        <v>Teleworking from home</v>
      </c>
    </row>
    <row r="38" spans="1:6" x14ac:dyDescent="0.3">
      <c r="A38" t="s">
        <v>258</v>
      </c>
      <c r="B38" t="s">
        <v>701</v>
      </c>
      <c r="C38" t="s">
        <v>972</v>
      </c>
      <c r="D38" t="s">
        <v>351</v>
      </c>
      <c r="E38" t="str">
        <f>VLOOKUP(B38,data1,2,FALSE)</f>
        <v>Does your main paid job involve: Working at home (home being your normal workplace), excluding teleworking?</v>
      </c>
      <c r="F38" t="str">
        <f t="shared" si="0"/>
        <v>Working at home (excluding telework)</v>
      </c>
    </row>
    <row r="39" spans="1:6" x14ac:dyDescent="0.3">
      <c r="A39" t="s">
        <v>258</v>
      </c>
      <c r="B39" t="s">
        <v>702</v>
      </c>
      <c r="C39" t="s">
        <v>973</v>
      </c>
      <c r="D39" t="s">
        <v>354</v>
      </c>
      <c r="E39" t="str">
        <f>VLOOKUP(B39,data1,2,FALSE)</f>
        <v>Does your main paid job involve: Dealing directly with people who are not employees at your workplace such as customers, passengers, pupils, patients, etc.?</v>
      </c>
      <c r="F39" t="str">
        <f t="shared" si="0"/>
        <v>Dealing directly with customers/passengers/patients</v>
      </c>
    </row>
    <row r="40" spans="1:6" x14ac:dyDescent="0.3">
      <c r="A40" t="s">
        <v>258</v>
      </c>
      <c r="B40" t="s">
        <v>703</v>
      </c>
      <c r="C40" t="s">
        <v>974</v>
      </c>
      <c r="D40" t="s">
        <v>357</v>
      </c>
      <c r="E40" t="str">
        <f>VLOOKUP(B40,data1,2,FALSE)</f>
        <v>Does your main paid job involve: Wearing personal protective equipment?</v>
      </c>
      <c r="F40" t="str">
        <f t="shared" si="0"/>
        <v>Wearing personal protective equipment</v>
      </c>
    </row>
    <row r="41" spans="1:6" x14ac:dyDescent="0.3">
      <c r="B41" t="s">
        <v>943</v>
      </c>
      <c r="C41" t="s">
        <v>943</v>
      </c>
      <c r="E41" t="e">
        <f>VLOOKUP(B41,data1,2,FALSE)</f>
        <v>#N/A</v>
      </c>
      <c r="F41" t="str">
        <f t="shared" si="0"/>
        <v/>
      </c>
    </row>
    <row r="42" spans="1:6" x14ac:dyDescent="0.3">
      <c r="A42" t="s">
        <v>258</v>
      </c>
      <c r="B42" t="s">
        <v>704</v>
      </c>
      <c r="C42" t="s">
        <v>975</v>
      </c>
      <c r="D42" t="s">
        <v>360</v>
      </c>
      <c r="E42" t="str">
        <f>VLOOKUP(B42,data1,2,FALSE)</f>
        <v>Regarding the health and safety risks related to the performance of your job, how well informed would you say you are?</v>
      </c>
      <c r="F42" t="str">
        <f t="shared" si="0"/>
        <v>How well informed about health and safety risks</v>
      </c>
    </row>
    <row r="43" spans="1:6" x14ac:dyDescent="0.3">
      <c r="A43" t="s">
        <v>258</v>
      </c>
      <c r="B43" t="s">
        <v>705</v>
      </c>
      <c r="C43" t="s">
        <v>976</v>
      </c>
      <c r="D43" t="s">
        <v>363</v>
      </c>
      <c r="E43" t="str">
        <f>VLOOKUP(B43,data1,2,FALSE)</f>
        <v>How many hours do you usually work per week, in your main paid job?</v>
      </c>
      <c r="F43" t="str">
        <f t="shared" si="0"/>
        <v>Hours worked per week</v>
      </c>
    </row>
    <row r="44" spans="1:6" x14ac:dyDescent="0.3">
      <c r="A44" t="s">
        <v>258</v>
      </c>
      <c r="B44" t="s">
        <v>706</v>
      </c>
      <c r="C44" t="s">
        <v>977</v>
      </c>
      <c r="D44" t="s">
        <v>366</v>
      </c>
      <c r="E44" t="str">
        <f>VLOOKUP(B44,data1,2,FALSE)</f>
        <v>How many days per week do you usually work in your main paid job?</v>
      </c>
      <c r="F44" t="str">
        <f t="shared" si="0"/>
        <v>Days worked per week</v>
      </c>
    </row>
    <row r="45" spans="1:6" x14ac:dyDescent="0.3">
      <c r="A45" t="s">
        <v>258</v>
      </c>
      <c r="B45" t="s">
        <v>707</v>
      </c>
      <c r="C45" t="s">
        <v>978</v>
      </c>
      <c r="D45" t="s">
        <v>369</v>
      </c>
      <c r="E45" t="str">
        <f>VLOOKUP(B45,data1,2,FALSE)</f>
        <v>In total, how many minutes per day do you normally spend travelling from home to work and back?</v>
      </c>
      <c r="F45" t="str">
        <f t="shared" si="0"/>
        <v>Minutes spent commuting per day</v>
      </c>
    </row>
    <row r="46" spans="1:6" x14ac:dyDescent="0.3">
      <c r="A46" t="s">
        <v>258</v>
      </c>
      <c r="B46" t="s">
        <v>708</v>
      </c>
      <c r="C46" t="s">
        <v>979</v>
      </c>
      <c r="D46" t="s">
        <v>372</v>
      </c>
      <c r="E46" t="str">
        <f>VLOOKUP(B46,data1,2,FALSE)</f>
        <v>Normally, how many times a month do you work at night, for at least 2 hours between 10.00 pm and 05.00 am?</v>
      </c>
      <c r="F46" t="str">
        <f t="shared" si="0"/>
        <v>Night work frequency</v>
      </c>
    </row>
    <row r="47" spans="1:6" x14ac:dyDescent="0.3">
      <c r="A47" t="s">
        <v>258</v>
      </c>
      <c r="B47" t="s">
        <v>709</v>
      </c>
      <c r="C47" t="s">
        <v>980</v>
      </c>
      <c r="D47" t="s">
        <v>375</v>
      </c>
      <c r="E47" t="str">
        <f>VLOOKUP(B47,data1,2,FALSE)</f>
        <v>And how many times a month do you work in the evening, for at least 2 hours between 6.00 pm and 10.00 pm?</v>
      </c>
      <c r="F47" t="str">
        <f t="shared" si="0"/>
        <v>Evening work frequency</v>
      </c>
    </row>
    <row r="48" spans="1:6" x14ac:dyDescent="0.3">
      <c r="A48" t="s">
        <v>258</v>
      </c>
      <c r="B48" t="s">
        <v>710</v>
      </c>
      <c r="C48" t="s">
        <v>981</v>
      </c>
      <c r="D48" t="s">
        <v>378</v>
      </c>
      <c r="E48" t="str">
        <f>VLOOKUP(B48,data1,2,FALSE)</f>
        <v>And how many times a month do you work on Sundays?</v>
      </c>
      <c r="F48" t="str">
        <f t="shared" si="0"/>
        <v>Sunday work frequency</v>
      </c>
    </row>
    <row r="49" spans="1:6" x14ac:dyDescent="0.3">
      <c r="A49" t="s">
        <v>258</v>
      </c>
      <c r="B49" t="s">
        <v>711</v>
      </c>
      <c r="C49" t="s">
        <v>982</v>
      </c>
      <c r="D49" t="s">
        <v>381</v>
      </c>
      <c r="E49" t="str">
        <f>VLOOKUP(B49,data1,2,FALSE)</f>
        <v>And how many times a month do you work on Saturdays?</v>
      </c>
      <c r="F49" t="str">
        <f t="shared" si="0"/>
        <v>Saturday work frequency</v>
      </c>
    </row>
    <row r="50" spans="1:6" x14ac:dyDescent="0.3">
      <c r="A50" t="s">
        <v>258</v>
      </c>
      <c r="B50" t="s">
        <v>712</v>
      </c>
      <c r="C50" t="s">
        <v>983</v>
      </c>
      <c r="D50" t="s">
        <v>384</v>
      </c>
      <c r="E50" t="str">
        <f>VLOOKUP(B50,data1,2,FALSE)</f>
        <v>And how many times a month do you work more than 10 hours a day?</v>
      </c>
      <c r="F50" t="str">
        <f t="shared" si="0"/>
        <v>Work more than 10 hours/day</v>
      </c>
    </row>
    <row r="51" spans="1:6" x14ac:dyDescent="0.3">
      <c r="B51" t="s">
        <v>943</v>
      </c>
      <c r="C51" t="s">
        <v>943</v>
      </c>
      <c r="E51" t="e">
        <f>VLOOKUP(B51,data1,2,FALSE)</f>
        <v>#N/A</v>
      </c>
      <c r="F51" t="str">
        <f t="shared" si="0"/>
        <v/>
      </c>
    </row>
    <row r="52" spans="1:6" x14ac:dyDescent="0.3">
      <c r="A52" t="s">
        <v>258</v>
      </c>
      <c r="B52" t="s">
        <v>713</v>
      </c>
      <c r="C52" t="s">
        <v>849</v>
      </c>
      <c r="D52" t="s">
        <v>387</v>
      </c>
      <c r="E52" t="str">
        <f>VLOOKUP(B52,data1,2,FALSE)</f>
        <v>Do you work part-time?</v>
      </c>
      <c r="F52" t="str">
        <f t="shared" si="0"/>
        <v>Do you work part-time?</v>
      </c>
    </row>
    <row r="53" spans="1:6" x14ac:dyDescent="0.3">
      <c r="A53" t="s">
        <v>258</v>
      </c>
      <c r="B53" t="s">
        <v>714</v>
      </c>
      <c r="C53" t="s">
        <v>984</v>
      </c>
      <c r="D53" t="s">
        <v>390</v>
      </c>
      <c r="E53" t="str">
        <f>VLOOKUP(B53,data1,2,FALSE)</f>
        <v>(If Part-time) Would you like to work: More hours, Less hours, or The same number of hours?</v>
      </c>
      <c r="F53" t="str">
        <f t="shared" si="0"/>
        <v>Would you like more/less/same hours?</v>
      </c>
    </row>
    <row r="54" spans="1:6" x14ac:dyDescent="0.3">
      <c r="B54" t="s">
        <v>943</v>
      </c>
      <c r="C54" t="s">
        <v>943</v>
      </c>
      <c r="E54" t="e">
        <f>VLOOKUP(B54,data1,2,FALSE)</f>
        <v>#N/A</v>
      </c>
      <c r="F54" t="str">
        <f t="shared" si="0"/>
        <v/>
      </c>
    </row>
    <row r="55" spans="1:6" x14ac:dyDescent="0.3">
      <c r="A55" t="s">
        <v>258</v>
      </c>
      <c r="B55" t="s">
        <v>715</v>
      </c>
      <c r="C55" t="s">
        <v>985</v>
      </c>
      <c r="D55" t="s">
        <v>393</v>
      </c>
      <c r="E55" t="str">
        <f>VLOOKUP(B55,data1,2,FALSE)</f>
        <v>Do you work: The same number of hours every day?</v>
      </c>
      <c r="F55" t="str">
        <f t="shared" si="0"/>
        <v>Same number of hours every day</v>
      </c>
    </row>
    <row r="56" spans="1:6" x14ac:dyDescent="0.3">
      <c r="A56" t="s">
        <v>258</v>
      </c>
      <c r="B56" t="s">
        <v>716</v>
      </c>
      <c r="C56" t="s">
        <v>986</v>
      </c>
      <c r="D56" t="s">
        <v>396</v>
      </c>
      <c r="E56" t="str">
        <f>VLOOKUP(B56,data1,2,FALSE)</f>
        <v>Do you work: The same number of days every week?</v>
      </c>
      <c r="F56" t="str">
        <f t="shared" si="0"/>
        <v>Same number of days every week</v>
      </c>
    </row>
    <row r="57" spans="1:6" x14ac:dyDescent="0.3">
      <c r="A57" t="s">
        <v>258</v>
      </c>
      <c r="B57" t="s">
        <v>717</v>
      </c>
      <c r="C57" t="s">
        <v>987</v>
      </c>
      <c r="D57" t="s">
        <v>399</v>
      </c>
      <c r="E57" t="str">
        <f>VLOOKUP(B57,data1,2,FALSE)</f>
        <v>Do you work: The same number of hours every week?</v>
      </c>
      <c r="F57" t="str">
        <f t="shared" si="0"/>
        <v>Same number of hours every week</v>
      </c>
    </row>
    <row r="58" spans="1:6" x14ac:dyDescent="0.3">
      <c r="A58" t="s">
        <v>258</v>
      </c>
      <c r="B58" t="s">
        <v>718</v>
      </c>
      <c r="C58" t="s">
        <v>988</v>
      </c>
      <c r="D58" t="s">
        <v>402</v>
      </c>
      <c r="E58" t="str">
        <f>VLOOKUP(B58,data1,2,FALSE)</f>
        <v>Do you work: Fixed starting and finishing times?</v>
      </c>
      <c r="F58" t="str">
        <f t="shared" si="0"/>
        <v>Fixed starting and finishing times</v>
      </c>
    </row>
    <row r="59" spans="1:6" x14ac:dyDescent="0.3">
      <c r="A59" t="s">
        <v>258</v>
      </c>
      <c r="B59" t="s">
        <v>719</v>
      </c>
      <c r="C59" t="s">
        <v>989</v>
      </c>
      <c r="D59" t="s">
        <v>405</v>
      </c>
      <c r="E59" t="str">
        <f>VLOOKUP(B59,data1,2,FALSE)</f>
        <v>Do you work: In shifts?</v>
      </c>
      <c r="F59" t="str">
        <f t="shared" si="0"/>
        <v>Do you work shifts?</v>
      </c>
    </row>
    <row r="60" spans="1:6" x14ac:dyDescent="0.3">
      <c r="A60" t="s">
        <v>258</v>
      </c>
      <c r="B60" t="s">
        <v>720</v>
      </c>
      <c r="C60" t="s">
        <v>990</v>
      </c>
      <c r="D60" t="s">
        <v>408</v>
      </c>
      <c r="E60" t="str">
        <f>VLOOKUP(B60,data1,2,FALSE)</f>
        <v>(If Shifts) Do you work: Split shifts, Permanent (night/afternoon/morning), Alternating, or Other?</v>
      </c>
      <c r="F60" t="str">
        <f t="shared" si="0"/>
        <v>Type of shift pattern</v>
      </c>
    </row>
    <row r="61" spans="1:6" x14ac:dyDescent="0.3">
      <c r="B61" t="s">
        <v>943</v>
      </c>
      <c r="C61" t="s">
        <v>943</v>
      </c>
      <c r="E61" t="e">
        <f>VLOOKUP(B61,data1,2,FALSE)</f>
        <v>#N/A</v>
      </c>
      <c r="F61" t="str">
        <f t="shared" si="0"/>
        <v/>
      </c>
    </row>
    <row r="62" spans="1:6" x14ac:dyDescent="0.3">
      <c r="A62" t="s">
        <v>258</v>
      </c>
      <c r="B62" t="s">
        <v>721</v>
      </c>
      <c r="C62" t="s">
        <v>991</v>
      </c>
      <c r="D62" t="s">
        <v>411</v>
      </c>
      <c r="E62" t="str">
        <f>VLOOKUP(B62,data1,2,FALSE)</f>
        <v>How often do you have to interrupt a task you are doing in order to take on an unforeseen task?</v>
      </c>
      <c r="F62" t="str">
        <f t="shared" si="0"/>
        <v>How often you interrupt tasks</v>
      </c>
    </row>
    <row r="63" spans="1:6" x14ac:dyDescent="0.3">
      <c r="A63" t="s">
        <v>258</v>
      </c>
      <c r="B63" t="s">
        <v>722</v>
      </c>
      <c r="C63" t="s">
        <v>992</v>
      </c>
      <c r="D63" t="s">
        <v>414</v>
      </c>
      <c r="E63" t="str">
        <f>VLOOKUP(B63,data1,2,FALSE)</f>
        <v>(If interruptions occur) For your work, are these interruptions: Disruptive, Without consequences, or Positive?</v>
      </c>
      <c r="F63" t="str">
        <f t="shared" si="0"/>
        <v>Are interruptions disruptive/neutral/positive</v>
      </c>
    </row>
    <row r="64" spans="1:6" x14ac:dyDescent="0.3">
      <c r="B64" t="s">
        <v>943</v>
      </c>
      <c r="C64" t="s">
        <v>943</v>
      </c>
      <c r="E64" t="e">
        <f>VLOOKUP(B64,data1,2,FALSE)</f>
        <v>#N/A</v>
      </c>
      <c r="F64" t="str">
        <f t="shared" si="0"/>
        <v/>
      </c>
    </row>
    <row r="65" spans="1:6" x14ac:dyDescent="0.3">
      <c r="A65" t="s">
        <v>258</v>
      </c>
      <c r="B65" t="s">
        <v>723</v>
      </c>
      <c r="C65" t="s">
        <v>993</v>
      </c>
      <c r="D65" t="s">
        <v>417</v>
      </c>
      <c r="E65" t="str">
        <f>VLOOKUP(B65,data1,2,FALSE)</f>
        <v>Please tell me, does your job involve short repetitive tasks of less than 1 minute?</v>
      </c>
      <c r="F65" t="str">
        <f t="shared" si="0"/>
        <v>Short repetitive tasks (&lt;1 min)</v>
      </c>
    </row>
    <row r="66" spans="1:6" x14ac:dyDescent="0.3">
      <c r="A66" t="s">
        <v>258</v>
      </c>
      <c r="B66" t="s">
        <v>724</v>
      </c>
      <c r="C66" t="s">
        <v>994</v>
      </c>
      <c r="D66" t="s">
        <v>420</v>
      </c>
      <c r="E66" t="str">
        <f>VLOOKUP(B66,data1,2,FALSE)</f>
        <v>(If Yes) If you do have to repeat the same task... do you repeat the same movements?</v>
      </c>
      <c r="F66" t="str">
        <f t="shared" ref="F66:F129" si="1">TRIM(C66)</f>
        <v>Repetition of same movements</v>
      </c>
    </row>
    <row r="67" spans="1:6" x14ac:dyDescent="0.3">
      <c r="B67" t="s">
        <v>943</v>
      </c>
      <c r="C67" t="s">
        <v>943</v>
      </c>
      <c r="E67" t="e">
        <f>VLOOKUP(B67,data1,2,FALSE)</f>
        <v>#N/A</v>
      </c>
      <c r="F67" t="str">
        <f t="shared" si="1"/>
        <v/>
      </c>
    </row>
    <row r="68" spans="1:6" x14ac:dyDescent="0.3">
      <c r="A68" t="s">
        <v>258</v>
      </c>
      <c r="B68" t="s">
        <v>725</v>
      </c>
      <c r="C68" t="s">
        <v>995</v>
      </c>
      <c r="D68" t="s">
        <v>423</v>
      </c>
      <c r="E68" t="str">
        <f>VLOOKUP(B68,data1,2,FALSE)</f>
        <v>Does your job involve: Working at very high speed?</v>
      </c>
      <c r="F68" t="str">
        <f t="shared" si="1"/>
        <v>Working at very high speed</v>
      </c>
    </row>
    <row r="69" spans="1:6" x14ac:dyDescent="0.3">
      <c r="A69" t="s">
        <v>258</v>
      </c>
      <c r="B69" t="s">
        <v>726</v>
      </c>
      <c r="C69" t="s">
        <v>996</v>
      </c>
      <c r="D69" t="s">
        <v>426</v>
      </c>
      <c r="E69" t="str">
        <f>VLOOKUP(B69,data1,2,FALSE)</f>
        <v>Does your job involve: Working to tight deadlines?</v>
      </c>
      <c r="F69" t="str">
        <f t="shared" si="1"/>
        <v>Working to tight deadlines</v>
      </c>
    </row>
    <row r="70" spans="1:6" x14ac:dyDescent="0.3">
      <c r="B70" t="s">
        <v>943</v>
      </c>
      <c r="C70" t="s">
        <v>943</v>
      </c>
      <c r="E70" t="e">
        <f>VLOOKUP(B70,data1,2,FALSE)</f>
        <v>#N/A</v>
      </c>
      <c r="F70" t="str">
        <f t="shared" si="1"/>
        <v/>
      </c>
    </row>
    <row r="71" spans="1:6" x14ac:dyDescent="0.3">
      <c r="A71" t="s">
        <v>258</v>
      </c>
      <c r="B71" t="s">
        <v>727</v>
      </c>
      <c r="C71" t="s">
        <v>997</v>
      </c>
      <c r="D71" t="s">
        <v>429</v>
      </c>
      <c r="E71" t="str">
        <f>VLOOKUP(B71,data1,2,FALSE)</f>
        <v>On the whole, is your pace of work dependent on: The work done by colleagues?</v>
      </c>
      <c r="F71" t="str">
        <f t="shared" si="1"/>
        <v>Pace dependent on colleagues</v>
      </c>
    </row>
    <row r="72" spans="1:6" x14ac:dyDescent="0.3">
      <c r="A72" t="s">
        <v>258</v>
      </c>
      <c r="B72" t="s">
        <v>728</v>
      </c>
      <c r="C72" t="s">
        <v>998</v>
      </c>
      <c r="D72" t="s">
        <v>432</v>
      </c>
      <c r="E72" t="str">
        <f>VLOOKUP(B72,data1,2,FALSE)</f>
        <v>On the whole, is your pace of work dependent on: Direct demands from people such as customers, passengers, pupils, patients, etc.?</v>
      </c>
      <c r="F72" t="str">
        <f t="shared" si="1"/>
        <v>Pace dependent on direct demands from people</v>
      </c>
    </row>
    <row r="73" spans="1:6" x14ac:dyDescent="0.3">
      <c r="A73" t="s">
        <v>258</v>
      </c>
      <c r="B73" t="s">
        <v>729</v>
      </c>
      <c r="C73" t="s">
        <v>999</v>
      </c>
      <c r="D73" t="s">
        <v>435</v>
      </c>
      <c r="E73" t="str">
        <f>VLOOKUP(B73,data1,2,FALSE)</f>
        <v>On the whole, is your pace of work dependent on: Numerical production targets or performance targets?</v>
      </c>
      <c r="F73" t="str">
        <f t="shared" si="1"/>
        <v>Pace dependent on numerical/performance targets</v>
      </c>
    </row>
    <row r="74" spans="1:6" x14ac:dyDescent="0.3">
      <c r="A74" t="s">
        <v>258</v>
      </c>
      <c r="B74" t="s">
        <v>730</v>
      </c>
      <c r="C74" t="s">
        <v>1000</v>
      </c>
      <c r="D74" t="s">
        <v>438</v>
      </c>
      <c r="E74" t="str">
        <f>VLOOKUP(B74,data1,2,FALSE)</f>
        <v>On the whole, is your pace of work dependent on: Automatic speed of a machine or movement of a product?</v>
      </c>
      <c r="F74" t="str">
        <f t="shared" si="1"/>
        <v>Pace dependent on automatic speed of a machine/product</v>
      </c>
    </row>
    <row r="75" spans="1:6" x14ac:dyDescent="0.3">
      <c r="A75" t="s">
        <v>258</v>
      </c>
      <c r="B75" t="s">
        <v>731</v>
      </c>
      <c r="C75" t="s">
        <v>1001</v>
      </c>
      <c r="D75" t="s">
        <v>441</v>
      </c>
      <c r="E75" t="str">
        <f>VLOOKUP(B75,data1,2,FALSE)</f>
        <v>On the whole, is your pace of work dependent on: The direct control of your boss?</v>
      </c>
      <c r="F75" t="str">
        <f t="shared" si="1"/>
        <v>Pace dependent on direct control of your boss</v>
      </c>
    </row>
    <row r="76" spans="1:6" x14ac:dyDescent="0.3">
      <c r="B76" t="s">
        <v>943</v>
      </c>
      <c r="C76" t="s">
        <v>943</v>
      </c>
      <c r="E76" t="e">
        <f>VLOOKUP(B76,data1,2,FALSE)</f>
        <v>#N/A</v>
      </c>
      <c r="F76" t="str">
        <f t="shared" si="1"/>
        <v/>
      </c>
    </row>
    <row r="77" spans="1:6" x14ac:dyDescent="0.3">
      <c r="A77" t="s">
        <v>258</v>
      </c>
      <c r="B77" t="s">
        <v>732</v>
      </c>
      <c r="C77" t="s">
        <v>1002</v>
      </c>
      <c r="D77" t="s">
        <v>444</v>
      </c>
      <c r="E77" t="str">
        <f>VLOOKUP(B77,data1,2,FALSE)</f>
        <v>Generally, does your main paid job involve: Meeting precise quality standards?</v>
      </c>
      <c r="F77" t="str">
        <f t="shared" si="1"/>
        <v>Meeting precise quality standards</v>
      </c>
    </row>
    <row r="78" spans="1:6" x14ac:dyDescent="0.3">
      <c r="A78" t="s">
        <v>258</v>
      </c>
      <c r="B78" t="s">
        <v>733</v>
      </c>
      <c r="C78" t="s">
        <v>1003</v>
      </c>
      <c r="D78" t="s">
        <v>447</v>
      </c>
      <c r="E78" t="str">
        <f>VLOOKUP(B78,data1,2,FALSE)</f>
        <v>Generally, does your main paid job involve: Assessing yourself the quality of your own work?</v>
      </c>
      <c r="F78" t="str">
        <f t="shared" si="1"/>
        <v>Assessing quality of own work</v>
      </c>
    </row>
    <row r="79" spans="1:6" x14ac:dyDescent="0.3">
      <c r="A79" t="s">
        <v>258</v>
      </c>
      <c r="B79" t="s">
        <v>734</v>
      </c>
      <c r="C79" t="s">
        <v>1004</v>
      </c>
      <c r="D79" t="s">
        <v>450</v>
      </c>
      <c r="E79" t="str">
        <f>VLOOKUP(B79,data1,2,FALSE)</f>
        <v>Generally, does your main paid job involve: Solving unforeseen problems on your own?</v>
      </c>
      <c r="F79" t="str">
        <f t="shared" si="1"/>
        <v>Solving unforeseen problems</v>
      </c>
    </row>
    <row r="80" spans="1:6" x14ac:dyDescent="0.3">
      <c r="A80" t="s">
        <v>258</v>
      </c>
      <c r="B80" t="s">
        <v>735</v>
      </c>
      <c r="C80" t="s">
        <v>1005</v>
      </c>
      <c r="D80" t="s">
        <v>453</v>
      </c>
      <c r="E80" t="str">
        <f>VLOOKUP(B80,data1,2,FALSE)</f>
        <v>Generally, does your main paid job involve: Monotonous tasks?</v>
      </c>
      <c r="F80" t="str">
        <f t="shared" si="1"/>
        <v>Monotonous tasks</v>
      </c>
    </row>
    <row r="81" spans="1:6" x14ac:dyDescent="0.3">
      <c r="A81" t="s">
        <v>258</v>
      </c>
      <c r="B81" t="s">
        <v>736</v>
      </c>
      <c r="C81" t="s">
        <v>1006</v>
      </c>
      <c r="D81" t="s">
        <v>456</v>
      </c>
      <c r="E81" t="str">
        <f>VLOOKUP(B81,data1,2,FALSE)</f>
        <v>Generally, does your main paid job involve: Complex tasks?</v>
      </c>
      <c r="F81" t="str">
        <f t="shared" si="1"/>
        <v>Complex tasks</v>
      </c>
    </row>
    <row r="82" spans="1:6" x14ac:dyDescent="0.3">
      <c r="A82" t="s">
        <v>258</v>
      </c>
      <c r="B82" t="s">
        <v>737</v>
      </c>
      <c r="C82" t="s">
        <v>1007</v>
      </c>
      <c r="D82" t="s">
        <v>459</v>
      </c>
      <c r="E82" t="str">
        <f>VLOOKUP(B82,data1,2,FALSE)</f>
        <v>Generally, does your main paid job involve: Learning new things?</v>
      </c>
      <c r="F82" t="str">
        <f t="shared" si="1"/>
        <v>Learning new things</v>
      </c>
    </row>
    <row r="83" spans="1:6" x14ac:dyDescent="0.3">
      <c r="B83" t="s">
        <v>943</v>
      </c>
      <c r="C83" t="s">
        <v>943</v>
      </c>
      <c r="E83" t="e">
        <f>VLOOKUP(B83,data1,2,FALSE)</f>
        <v>#N/A</v>
      </c>
      <c r="F83" t="str">
        <f t="shared" si="1"/>
        <v/>
      </c>
    </row>
    <row r="84" spans="1:6" x14ac:dyDescent="0.3">
      <c r="A84" t="s">
        <v>258</v>
      </c>
      <c r="B84" t="s">
        <v>738</v>
      </c>
      <c r="C84" t="s">
        <v>1008</v>
      </c>
      <c r="D84" t="s">
        <v>462</v>
      </c>
      <c r="E84" t="str">
        <f>VLOOKUP(B84,data1,2,FALSE)</f>
        <v>Are you able to choose or change: Your order of tasks?</v>
      </c>
      <c r="F84" t="str">
        <f t="shared" si="1"/>
        <v>Able to choose order of tasks</v>
      </c>
    </row>
    <row r="85" spans="1:6" x14ac:dyDescent="0.3">
      <c r="A85" t="s">
        <v>258</v>
      </c>
      <c r="B85" t="s">
        <v>739</v>
      </c>
      <c r="C85" t="s">
        <v>1009</v>
      </c>
      <c r="D85" t="s">
        <v>465</v>
      </c>
      <c r="E85" t="str">
        <f>VLOOKUP(B85,data1,2,FALSE)</f>
        <v>Are you able to choose or change: Your methods of work?</v>
      </c>
      <c r="F85" t="str">
        <f t="shared" si="1"/>
        <v>Able to choose methods of work</v>
      </c>
    </row>
    <row r="86" spans="1:6" x14ac:dyDescent="0.3">
      <c r="A86" t="s">
        <v>258</v>
      </c>
      <c r="B86" t="s">
        <v>740</v>
      </c>
      <c r="C86" t="s">
        <v>1010</v>
      </c>
      <c r="D86" t="s">
        <v>468</v>
      </c>
      <c r="E86" t="str">
        <f>VLOOKUP(B86,data1,2,FALSE)</f>
        <v>Are you able to choose or change: Your speed or rate of work?</v>
      </c>
      <c r="F86" t="str">
        <f t="shared" si="1"/>
        <v>Able to choose speed/rate of work</v>
      </c>
    </row>
    <row r="87" spans="1:6" x14ac:dyDescent="0.3">
      <c r="B87" t="s">
        <v>943</v>
      </c>
      <c r="C87" t="s">
        <v>943</v>
      </c>
      <c r="E87" t="e">
        <f>VLOOKUP(B87,data1,2,FALSE)</f>
        <v>#N/A</v>
      </c>
      <c r="F87" t="str">
        <f t="shared" si="1"/>
        <v/>
      </c>
    </row>
    <row r="88" spans="1:6" x14ac:dyDescent="0.3">
      <c r="A88" t="s">
        <v>258</v>
      </c>
      <c r="B88" t="s">
        <v>741</v>
      </c>
      <c r="C88" t="s">
        <v>1011</v>
      </c>
      <c r="D88" t="s">
        <v>471</v>
      </c>
      <c r="E88" t="str">
        <f>VLOOKUP(B88,data1,2,FALSE)</f>
        <v>For each of the following statements, please answer Yes or No: You can get assistance from colleagues if you ask for it?</v>
      </c>
      <c r="F88" t="str">
        <f t="shared" si="1"/>
        <v>Can get assistance from colleagues</v>
      </c>
    </row>
    <row r="89" spans="1:6" x14ac:dyDescent="0.3">
      <c r="A89" t="s">
        <v>258</v>
      </c>
      <c r="B89" t="s">
        <v>742</v>
      </c>
      <c r="C89" t="s">
        <v>1012</v>
      </c>
      <c r="D89" t="s">
        <v>474</v>
      </c>
      <c r="E89" t="str">
        <f>VLOOKUP(B89,data1,2,FALSE)</f>
        <v>For each of the following statements, please answer Yes or No: You can take a break when you wish?</v>
      </c>
      <c r="F89" t="str">
        <f t="shared" si="1"/>
        <v>Can take break when you want</v>
      </c>
    </row>
    <row r="90" spans="1:6" x14ac:dyDescent="0.3">
      <c r="A90" t="s">
        <v>258</v>
      </c>
      <c r="B90" t="s">
        <v>743</v>
      </c>
      <c r="C90" t="s">
        <v>1013</v>
      </c>
      <c r="D90" t="s">
        <v>477</v>
      </c>
      <c r="E90" t="str">
        <f>VLOOKUP(B90,data1,2,FALSE)</f>
        <v>For each of the following statements, please answer Yes or No: You are free to decide when to take holidays or days off?</v>
      </c>
      <c r="F90" t="str">
        <f t="shared" si="1"/>
        <v>Can decide holidays/days off</v>
      </c>
    </row>
    <row r="91" spans="1:6" x14ac:dyDescent="0.3">
      <c r="A91" t="s">
        <v>258</v>
      </c>
      <c r="B91" t="s">
        <v>744</v>
      </c>
      <c r="C91" t="s">
        <v>1014</v>
      </c>
      <c r="D91" t="s">
        <v>480</v>
      </c>
      <c r="E91" t="str">
        <f>VLOOKUP(B91,data1,2,FALSE)</f>
        <v>For each of the following statements, please answer Yes or No: You can influence your working hours?</v>
      </c>
      <c r="F91" t="str">
        <f t="shared" si="1"/>
        <v>Can influence your working hours</v>
      </c>
    </row>
    <row r="92" spans="1:6" x14ac:dyDescent="0.3">
      <c r="A92" t="s">
        <v>258</v>
      </c>
      <c r="B92" t="s">
        <v>745</v>
      </c>
      <c r="C92" t="s">
        <v>1015</v>
      </c>
      <c r="D92" t="s">
        <v>483</v>
      </c>
      <c r="E92" t="str">
        <f>VLOOKUP(B92,data1,2,FALSE)</f>
        <v>For each of the following statements, please answer Yes or No: You have enough time to get the job done?</v>
      </c>
      <c r="F92" t="str">
        <f t="shared" si="1"/>
        <v>Have enough time to get job done</v>
      </c>
    </row>
    <row r="93" spans="1:6" x14ac:dyDescent="0.3">
      <c r="A93" t="s">
        <v>258</v>
      </c>
      <c r="B93" t="s">
        <v>746</v>
      </c>
      <c r="C93" t="s">
        <v>1016</v>
      </c>
      <c r="D93" t="s">
        <v>486</v>
      </c>
      <c r="E93" t="str">
        <f>VLOOKUP(B93,data1,2,FALSE)</f>
        <v>For each of the following statements, please answer Yes or No: You know what is expected of you at work?</v>
      </c>
      <c r="F93" t="str">
        <f t="shared" si="1"/>
        <v>Know what is expected of you</v>
      </c>
    </row>
    <row r="94" spans="1:6" x14ac:dyDescent="0.3">
      <c r="A94" t="s">
        <v>258</v>
      </c>
      <c r="B94" t="s">
        <v>747</v>
      </c>
      <c r="C94" t="s">
        <v>1017</v>
      </c>
      <c r="D94" t="s">
        <v>489</v>
      </c>
      <c r="E94" t="str">
        <f>VLOOKUP(B94,data1,2,FALSE)</f>
        <v>For each of the following statements, please answer Yes or No: Your job requires that you hide your feelings?</v>
      </c>
      <c r="F94" t="str">
        <f t="shared" si="1"/>
        <v>Job requires hiding feelings</v>
      </c>
    </row>
    <row r="95" spans="1:6" x14ac:dyDescent="0.3">
      <c r="A95" t="s">
        <v>258</v>
      </c>
      <c r="B95" t="s">
        <v>748</v>
      </c>
      <c r="C95" t="s">
        <v>1018</v>
      </c>
      <c r="D95" t="s">
        <v>492</v>
      </c>
      <c r="E95" t="str">
        <f>VLOOKUP(B95,data1,2,FALSE)</f>
        <v>For each of the following statements, please answer Yes or No: You have access to a telephone for private calls?</v>
      </c>
      <c r="F95" t="str">
        <f t="shared" si="1"/>
        <v>Access to telephone for private calls</v>
      </c>
    </row>
    <row r="96" spans="1:6" x14ac:dyDescent="0.3">
      <c r="B96" t="s">
        <v>943</v>
      </c>
      <c r="C96" t="s">
        <v>943</v>
      </c>
      <c r="E96" t="e">
        <f>VLOOKUP(B96,data1,2,FALSE)</f>
        <v>#N/A</v>
      </c>
      <c r="F96" t="str">
        <f t="shared" si="1"/>
        <v/>
      </c>
    </row>
    <row r="97" spans="1:6" x14ac:dyDescent="0.3">
      <c r="A97" t="s">
        <v>258</v>
      </c>
      <c r="B97" t="s">
        <v>749</v>
      </c>
      <c r="C97" t="s">
        <v>1019</v>
      </c>
      <c r="D97" t="s">
        <v>495</v>
      </c>
      <c r="E97" t="str">
        <f>VLOOKUP(B97,data1,2,FALSE)</f>
        <v>How well do you think your skills match the demands imposed on you by your job?</v>
      </c>
      <c r="F97" t="str">
        <f t="shared" si="1"/>
        <v>Skills match job demands</v>
      </c>
    </row>
    <row r="98" spans="1:6" x14ac:dyDescent="0.3">
      <c r="B98" t="s">
        <v>943</v>
      </c>
      <c r="C98" t="s">
        <v>943</v>
      </c>
      <c r="E98" t="e">
        <f>VLOOKUP(B98,data1,2,FALSE)</f>
        <v>#N/A</v>
      </c>
      <c r="F98" t="str">
        <f t="shared" si="1"/>
        <v/>
      </c>
    </row>
    <row r="99" spans="1:6" x14ac:dyDescent="0.3">
      <c r="A99" t="s">
        <v>258</v>
      </c>
      <c r="B99" t="s">
        <v>750</v>
      </c>
      <c r="C99" t="s">
        <v>1020</v>
      </c>
      <c r="D99" t="s">
        <v>498</v>
      </c>
      <c r="E99" t="str">
        <f>VLOOKUP(B99,data1,2,FALSE)</f>
        <v>Over the past 12 months, have you undergone training paid for or provided by your employer... to improve your skills?</v>
      </c>
      <c r="F99" t="str">
        <f t="shared" si="1"/>
        <v>Employer-paid training</v>
      </c>
    </row>
    <row r="100" spans="1:6" x14ac:dyDescent="0.3">
      <c r="A100" t="s">
        <v>258</v>
      </c>
      <c r="B100" t="s">
        <v>751</v>
      </c>
      <c r="C100" t="s">
        <v>1021</v>
      </c>
      <c r="D100" t="s">
        <v>501</v>
      </c>
      <c r="E100" t="str">
        <f>VLOOKUP(B100,data1,2,FALSE)</f>
        <v>(If Yes) How many days?</v>
      </c>
      <c r="F100" t="str">
        <f t="shared" si="1"/>
        <v>Number of training days</v>
      </c>
    </row>
    <row r="101" spans="1:6" x14ac:dyDescent="0.3">
      <c r="A101" t="s">
        <v>258</v>
      </c>
      <c r="B101" t="s">
        <v>752</v>
      </c>
      <c r="C101" t="s">
        <v>1022</v>
      </c>
      <c r="D101" t="s">
        <v>504</v>
      </c>
      <c r="E101" t="str">
        <f>VLOOKUP(B101,data1,2,FALSE)</f>
        <v>Over the past 12 months, have you, or not: Undergone any other training (paid for by yourself)?</v>
      </c>
      <c r="F101" t="str">
        <f t="shared" si="1"/>
        <v>Training paid by yourself</v>
      </c>
    </row>
    <row r="102" spans="1:6" x14ac:dyDescent="0.3">
      <c r="A102" t="s">
        <v>258</v>
      </c>
      <c r="B102" t="s">
        <v>753</v>
      </c>
      <c r="C102" t="s">
        <v>1023</v>
      </c>
      <c r="D102" t="s">
        <v>507</v>
      </c>
      <c r="E102" t="str">
        <f>VLOOKUP(B102,data1,2,FALSE)</f>
        <v>Over the past 12 months, have you, or not: Learned new things on the job (learning by doing)?</v>
      </c>
      <c r="F102" t="str">
        <f t="shared" si="1"/>
        <v>Learning by doing on the job</v>
      </c>
    </row>
    <row r="103" spans="1:6" x14ac:dyDescent="0.3">
      <c r="B103" t="s">
        <v>943</v>
      </c>
      <c r="C103" t="s">
        <v>943</v>
      </c>
      <c r="E103" t="e">
        <f>VLOOKUP(B103,data1,2,FALSE)</f>
        <v>#N/A</v>
      </c>
      <c r="F103" t="str">
        <f t="shared" si="1"/>
        <v/>
      </c>
    </row>
    <row r="104" spans="1:6" x14ac:dyDescent="0.3">
      <c r="A104" t="s">
        <v>258</v>
      </c>
      <c r="B104" t="s">
        <v>754</v>
      </c>
      <c r="C104" t="s">
        <v>1024</v>
      </c>
      <c r="D104" t="s">
        <v>510</v>
      </c>
      <c r="E104" t="str">
        <f>VLOOKUP(B104,data1,2,FALSE)</f>
        <v>Within your workplace, are you able to discuss: Your working conditions in general?</v>
      </c>
      <c r="F104" t="str">
        <f t="shared" si="1"/>
        <v>Able to discuss working conditions</v>
      </c>
    </row>
    <row r="105" spans="1:6" x14ac:dyDescent="0.3">
      <c r="A105" t="s">
        <v>258</v>
      </c>
      <c r="B105" t="s">
        <v>755</v>
      </c>
      <c r="C105" t="s">
        <v>1025</v>
      </c>
      <c r="D105" t="s">
        <v>513</v>
      </c>
      <c r="E105" t="str">
        <f>VLOOKUP(B105,data1,2,FALSE)</f>
        <v>Within your workplace, are you able to discuss: The organisation of your work when changes take place?</v>
      </c>
      <c r="F105" t="str">
        <f t="shared" si="1"/>
        <v>Able to discuss organisation of work</v>
      </c>
    </row>
    <row r="106" spans="1:6" x14ac:dyDescent="0.3">
      <c r="B106" t="s">
        <v>943</v>
      </c>
      <c r="C106" t="s">
        <v>943</v>
      </c>
      <c r="E106" t="e">
        <f>VLOOKUP(B106,data1,2,FALSE)</f>
        <v>#N/A</v>
      </c>
      <c r="F106" t="str">
        <f t="shared" si="1"/>
        <v/>
      </c>
    </row>
    <row r="107" spans="1:6" x14ac:dyDescent="0.3">
      <c r="A107" t="s">
        <v>258</v>
      </c>
      <c r="B107" t="s">
        <v>756</v>
      </c>
      <c r="C107" t="s">
        <v>1026</v>
      </c>
      <c r="D107" t="s">
        <v>516</v>
      </c>
      <c r="E107" t="str">
        <f>VLOOKUP(B107,data1,2,FALSE)</f>
        <v>In general, do your working hours fit in with your family or social commitments outside work?</v>
      </c>
      <c r="F107" t="str">
        <f t="shared" si="1"/>
        <v>Working hours fit family/social life</v>
      </c>
    </row>
    <row r="108" spans="1:6" x14ac:dyDescent="0.3">
      <c r="B108" t="s">
        <v>943</v>
      </c>
      <c r="C108" t="s">
        <v>943</v>
      </c>
      <c r="E108" t="e">
        <f>VLOOKUP(B108,data1,2,FALSE)</f>
        <v>#N/A</v>
      </c>
      <c r="F108" t="str">
        <f t="shared" si="1"/>
        <v/>
      </c>
    </row>
    <row r="109" spans="1:6" x14ac:dyDescent="0.3">
      <c r="A109" t="s">
        <v>258</v>
      </c>
      <c r="B109" t="s">
        <v>757</v>
      </c>
      <c r="C109" t="s">
        <v>1027</v>
      </c>
      <c r="D109" t="s">
        <v>519</v>
      </c>
      <c r="E109" t="str">
        <f>VLOOKUP(B109,data1,2,FALSE)</f>
        <v>Over the past 12 months... have you been subjected to: Physical violence from people from your workplace?</v>
      </c>
      <c r="F109" t="str">
        <f t="shared" si="1"/>
        <v>Physical violence from people at work</v>
      </c>
    </row>
    <row r="110" spans="1:6" x14ac:dyDescent="0.3">
      <c r="A110" t="s">
        <v>258</v>
      </c>
      <c r="B110" t="s">
        <v>758</v>
      </c>
      <c r="C110" t="s">
        <v>1028</v>
      </c>
      <c r="D110" t="s">
        <v>522</v>
      </c>
      <c r="E110" t="str">
        <f>VLOOKUP(B110,data1,2,FALSE)</f>
        <v>Over the past 12 months... have you been subjected to: Physical violence from other people?</v>
      </c>
      <c r="F110" t="str">
        <f t="shared" si="1"/>
        <v>Physical violence from other people</v>
      </c>
    </row>
    <row r="111" spans="1:6" x14ac:dyDescent="0.3">
      <c r="A111" t="s">
        <v>258</v>
      </c>
      <c r="B111" t="s">
        <v>759</v>
      </c>
      <c r="C111" t="s">
        <v>1029</v>
      </c>
      <c r="D111" t="s">
        <v>525</v>
      </c>
      <c r="E111" t="str">
        <f>VLOOKUP(B111,data1,2,FALSE)</f>
        <v>Over the past 12 months... have you been subjected to: Threats of physical violence?</v>
      </c>
      <c r="F111" t="str">
        <f t="shared" si="1"/>
        <v>Threats of physical violence</v>
      </c>
    </row>
    <row r="112" spans="1:6" x14ac:dyDescent="0.3">
      <c r="A112" t="s">
        <v>258</v>
      </c>
      <c r="B112" t="s">
        <v>760</v>
      </c>
      <c r="C112" t="s">
        <v>1030</v>
      </c>
      <c r="D112" t="s">
        <v>528</v>
      </c>
      <c r="E112" t="str">
        <f>VLOOKUP(B112,data1,2,FALSE)</f>
        <v>Over the past 12 months... have you been subjected to: Intimidation (bullying/mobbing)?</v>
      </c>
      <c r="F112" t="str">
        <f t="shared" si="1"/>
        <v>Intimidation/bullying/mobbing</v>
      </c>
    </row>
    <row r="113" spans="1:6" x14ac:dyDescent="0.3">
      <c r="A113" t="s">
        <v>258</v>
      </c>
      <c r="B113" t="s">
        <v>761</v>
      </c>
      <c r="C113" t="s">
        <v>1031</v>
      </c>
      <c r="D113" t="s">
        <v>531</v>
      </c>
      <c r="E113" t="str">
        <f>VLOOKUP(B113,data1,2,FALSE)</f>
        <v>Over the past 12 months... have you been subjected to: Sexual discrimination?</v>
      </c>
      <c r="F113" t="str">
        <f t="shared" si="1"/>
        <v>Sexual discrimination</v>
      </c>
    </row>
    <row r="114" spans="1:6" x14ac:dyDescent="0.3">
      <c r="A114" t="s">
        <v>258</v>
      </c>
      <c r="B114" t="s">
        <v>762</v>
      </c>
      <c r="C114" t="s">
        <v>1032</v>
      </c>
      <c r="D114" t="s">
        <v>534</v>
      </c>
      <c r="E114" t="str">
        <f>VLOOKUP(B114,data1,2,FALSE)</f>
        <v>Over the past 12 months... have you been subjected to: Unwanted sexual attention?</v>
      </c>
      <c r="F114" t="str">
        <f t="shared" si="1"/>
        <v>Unwanted sexual attention</v>
      </c>
    </row>
    <row r="115" spans="1:6" x14ac:dyDescent="0.3">
      <c r="A115" t="s">
        <v>258</v>
      </c>
      <c r="B115" t="s">
        <v>763</v>
      </c>
      <c r="C115" t="s">
        <v>1033</v>
      </c>
      <c r="D115" t="s">
        <v>537</v>
      </c>
      <c r="E115" t="str">
        <f>VLOOKUP(B115,data1,2,FALSE)</f>
        <v>Over the past 12 months... have you been subjected to: Age discrimination?</v>
      </c>
      <c r="F115" t="str">
        <f t="shared" si="1"/>
        <v>Age discrimination</v>
      </c>
    </row>
    <row r="116" spans="1:6" x14ac:dyDescent="0.3">
      <c r="A116" t="s">
        <v>258</v>
      </c>
      <c r="B116" t="s">
        <v>764</v>
      </c>
      <c r="C116" t="s">
        <v>1034</v>
      </c>
      <c r="D116" t="s">
        <v>540</v>
      </c>
      <c r="E116" t="str">
        <f>VLOOKUP(B116,data1,2,FALSE)</f>
        <v>Over the past 12 months... have you been subjected to: Discrimination linked to nationality?</v>
      </c>
      <c r="F116" t="str">
        <f t="shared" si="1"/>
        <v>Nationality discrimination</v>
      </c>
    </row>
    <row r="117" spans="1:6" x14ac:dyDescent="0.3">
      <c r="A117" t="s">
        <v>258</v>
      </c>
      <c r="B117" t="s">
        <v>765</v>
      </c>
      <c r="C117" t="s">
        <v>1035</v>
      </c>
      <c r="D117" t="s">
        <v>543</v>
      </c>
      <c r="E117" t="str">
        <f>VLOOKUP(B117,data1,2,FALSE)</f>
        <v>Over the past 12 months... have you been subjected to: Discrimination linked to ethnic background?</v>
      </c>
      <c r="F117" t="str">
        <f t="shared" si="1"/>
        <v>Ethnic discrimination</v>
      </c>
    </row>
    <row r="118" spans="1:6" x14ac:dyDescent="0.3">
      <c r="A118" t="s">
        <v>258</v>
      </c>
      <c r="B118" t="s">
        <v>766</v>
      </c>
      <c r="C118" t="s">
        <v>1036</v>
      </c>
      <c r="D118" t="s">
        <v>546</v>
      </c>
      <c r="E118" t="str">
        <f>VLOOKUP(B118,data1,2,FALSE)</f>
        <v>Over the past 12 months... have you been subjected to: Discrimination linked to religion?</v>
      </c>
      <c r="F118" t="str">
        <f t="shared" si="1"/>
        <v>Religious discrimination</v>
      </c>
    </row>
    <row r="119" spans="1:6" x14ac:dyDescent="0.3">
      <c r="A119" t="s">
        <v>258</v>
      </c>
      <c r="B119" t="s">
        <v>767</v>
      </c>
      <c r="C119" t="s">
        <v>1037</v>
      </c>
      <c r="D119" t="s">
        <v>549</v>
      </c>
      <c r="E119" t="str">
        <f>VLOOKUP(B119,data1,2,FALSE)</f>
        <v>Over the past 12 months... have you been subjected to: Discrimination linked to disability?</v>
      </c>
      <c r="F119" t="str">
        <f t="shared" si="1"/>
        <v>Disability discrimination</v>
      </c>
    </row>
    <row r="120" spans="1:6" x14ac:dyDescent="0.3">
      <c r="A120" t="s">
        <v>258</v>
      </c>
      <c r="B120" t="s">
        <v>768</v>
      </c>
      <c r="C120" t="s">
        <v>1038</v>
      </c>
      <c r="D120" t="s">
        <v>552</v>
      </c>
      <c r="E120" t="str">
        <f>VLOOKUP(B120,data1,2,FALSE)</f>
        <v>Over the past 12 months... have you been subjected to: Discrimination linked to sexual orientation?</v>
      </c>
      <c r="F120" t="str">
        <f t="shared" si="1"/>
        <v>Sexual orientation discrimination</v>
      </c>
    </row>
    <row r="121" spans="1:6" x14ac:dyDescent="0.3">
      <c r="B121" t="s">
        <v>943</v>
      </c>
      <c r="C121" t="s">
        <v>943</v>
      </c>
      <c r="E121" t="e">
        <f>VLOOKUP(B121,data1,2,FALSE)</f>
        <v>#N/A</v>
      </c>
      <c r="F121" t="str">
        <f t="shared" si="1"/>
        <v/>
      </c>
    </row>
    <row r="122" spans="1:6" x14ac:dyDescent="0.3">
      <c r="A122" t="s">
        <v>258</v>
      </c>
      <c r="B122" t="s">
        <v>769</v>
      </c>
      <c r="C122" t="s">
        <v>1039</v>
      </c>
      <c r="D122" t="s">
        <v>555</v>
      </c>
      <c r="E122" t="str">
        <f>VLOOKUP(B122,data1,2,FALSE)</f>
        <v>Do you think your health or safety is at risk because of your work?</v>
      </c>
      <c r="F122" t="str">
        <f t="shared" si="1"/>
        <v>Health or safety at risk because of your work</v>
      </c>
    </row>
    <row r="123" spans="1:6" x14ac:dyDescent="0.3">
      <c r="B123" t="s">
        <v>943</v>
      </c>
      <c r="C123" t="s">
        <v>943</v>
      </c>
      <c r="E123" t="e">
        <f>VLOOKUP(B123,data1,2,FALSE)</f>
        <v>#N/A</v>
      </c>
      <c r="F123" t="str">
        <f t="shared" si="1"/>
        <v/>
      </c>
    </row>
    <row r="124" spans="1:6" x14ac:dyDescent="0.3">
      <c r="A124" t="s">
        <v>258</v>
      </c>
      <c r="B124" t="s">
        <v>770</v>
      </c>
      <c r="C124" t="s">
        <v>1040</v>
      </c>
      <c r="D124" t="s">
        <v>558</v>
      </c>
      <c r="E124" t="str">
        <f>VLOOKUP(B124,data1,2,FALSE)</f>
        <v>Does your work affect your health? (IF YES) Hearing problems?</v>
      </c>
      <c r="F124" t="str">
        <f t="shared" si="1"/>
        <v>Health affected: Hearing problems</v>
      </c>
    </row>
    <row r="125" spans="1:6" x14ac:dyDescent="0.3">
      <c r="A125" t="s">
        <v>258</v>
      </c>
      <c r="B125" t="s">
        <v>771</v>
      </c>
      <c r="C125" t="s">
        <v>1041</v>
      </c>
      <c r="D125" t="s">
        <v>561</v>
      </c>
      <c r="E125" t="str">
        <f>VLOOKUP(B125,data1,2,FALSE)</f>
        <v>Does your work affect your health? (IF YES) Problems with your vision?</v>
      </c>
      <c r="F125" t="str">
        <f t="shared" si="1"/>
        <v>Health affected: Vision problems</v>
      </c>
    </row>
    <row r="126" spans="1:6" x14ac:dyDescent="0.3">
      <c r="A126" t="s">
        <v>258</v>
      </c>
      <c r="B126" t="s">
        <v>772</v>
      </c>
      <c r="C126" t="s">
        <v>1042</v>
      </c>
      <c r="D126" t="s">
        <v>564</v>
      </c>
      <c r="E126" t="str">
        <f>VLOOKUP(B126,data1,2,FALSE)</f>
        <v>Does your work affect your health? (IF YES) Skin problems?</v>
      </c>
      <c r="F126" t="str">
        <f t="shared" si="1"/>
        <v>Health affected: Skin problems</v>
      </c>
    </row>
    <row r="127" spans="1:6" x14ac:dyDescent="0.3">
      <c r="A127" t="s">
        <v>258</v>
      </c>
      <c r="B127" t="s">
        <v>773</v>
      </c>
      <c r="C127" t="s">
        <v>1043</v>
      </c>
      <c r="D127" t="s">
        <v>567</v>
      </c>
      <c r="E127" t="str">
        <f>VLOOKUP(B127,data1,2,FALSE)</f>
        <v>Does your work affect your health? (IF YES) Backache?</v>
      </c>
      <c r="F127" t="str">
        <f t="shared" si="1"/>
        <v>Health affected: Backache</v>
      </c>
    </row>
    <row r="128" spans="1:6" x14ac:dyDescent="0.3">
      <c r="A128" t="s">
        <v>258</v>
      </c>
      <c r="B128" t="s">
        <v>774</v>
      </c>
      <c r="C128" t="s">
        <v>1044</v>
      </c>
      <c r="D128" t="s">
        <v>570</v>
      </c>
      <c r="E128" t="str">
        <f>VLOOKUP(B128,data1,2,FALSE)</f>
        <v>Does your work affect your health? (IF YES) Headaches?</v>
      </c>
      <c r="F128" t="str">
        <f t="shared" si="1"/>
        <v>Health affected: Headaches</v>
      </c>
    </row>
    <row r="129" spans="1:6" x14ac:dyDescent="0.3">
      <c r="A129" t="s">
        <v>258</v>
      </c>
      <c r="B129" t="s">
        <v>775</v>
      </c>
      <c r="C129" t="s">
        <v>1045</v>
      </c>
      <c r="D129" t="s">
        <v>573</v>
      </c>
      <c r="E129" t="str">
        <f>VLOOKUP(B129,data1,2,FALSE)</f>
        <v>Does your work affect your health? (IF YES) Stomach ache?</v>
      </c>
      <c r="F129" t="str">
        <f t="shared" si="1"/>
        <v>Health affected: Stomach ache</v>
      </c>
    </row>
    <row r="130" spans="1:6" x14ac:dyDescent="0.3">
      <c r="A130" t="s">
        <v>258</v>
      </c>
      <c r="B130" t="s">
        <v>776</v>
      </c>
      <c r="C130" t="s">
        <v>1046</v>
      </c>
      <c r="D130" t="s">
        <v>576</v>
      </c>
      <c r="E130" t="str">
        <f>VLOOKUP(B130,data1,2,FALSE)</f>
        <v>Does your work affect your health? (IF YES) Muscular pains in shoulders, neck and/or upper limbs?</v>
      </c>
      <c r="F130" t="str">
        <f t="shared" ref="F130:F160" si="2">TRIM(C130)</f>
        <v>Health affected: Muscular pain (upper body)</v>
      </c>
    </row>
    <row r="131" spans="1:6" x14ac:dyDescent="0.3">
      <c r="A131" t="s">
        <v>258</v>
      </c>
      <c r="B131" t="s">
        <v>777</v>
      </c>
      <c r="C131" t="s">
        <v>1047</v>
      </c>
      <c r="D131" t="s">
        <v>579</v>
      </c>
      <c r="E131" t="str">
        <f>VLOOKUP(B131,data1,2,FALSE)</f>
        <v>Does your work affect your health? (IF YES) Muscular pains in lower limbs?</v>
      </c>
      <c r="F131" t="str">
        <f t="shared" si="2"/>
        <v>Health affected: Muscular pain (lower body)</v>
      </c>
    </row>
    <row r="132" spans="1:6" x14ac:dyDescent="0.3">
      <c r="A132" t="s">
        <v>258</v>
      </c>
      <c r="B132" t="s">
        <v>778</v>
      </c>
      <c r="C132" t="s">
        <v>1048</v>
      </c>
      <c r="D132" t="s">
        <v>582</v>
      </c>
      <c r="E132" t="str">
        <f>VLOOKUP(B132,data1,2,FALSE)</f>
        <v>Does your work affect your health? (IF YES) Respiratory difficulties?</v>
      </c>
      <c r="F132" t="str">
        <f t="shared" si="2"/>
        <v>Health affected: Respiratory difficulties</v>
      </c>
    </row>
    <row r="133" spans="1:6" x14ac:dyDescent="0.3">
      <c r="A133" t="s">
        <v>258</v>
      </c>
      <c r="B133" t="s">
        <v>779</v>
      </c>
      <c r="C133" t="s">
        <v>1049</v>
      </c>
      <c r="D133" t="s">
        <v>585</v>
      </c>
      <c r="E133" t="str">
        <f>VLOOKUP(B133,data1,2,FALSE)</f>
        <v>Does your work affect your health? (IF YES) Heart disease?</v>
      </c>
      <c r="F133" t="str">
        <f t="shared" si="2"/>
        <v>Health affected: Heart disease</v>
      </c>
    </row>
    <row r="134" spans="1:6" x14ac:dyDescent="0.3">
      <c r="A134" t="s">
        <v>258</v>
      </c>
      <c r="B134" t="s">
        <v>780</v>
      </c>
      <c r="C134" t="s">
        <v>1050</v>
      </c>
      <c r="D134" t="s">
        <v>588</v>
      </c>
      <c r="E134" t="str">
        <f>VLOOKUP(B134,data1,2,FALSE)</f>
        <v>Does your work affect your health? (IF YES) Injury (accident)?</v>
      </c>
      <c r="F134" t="str">
        <f t="shared" si="2"/>
        <v>Health affected: Injury/accident</v>
      </c>
    </row>
    <row r="135" spans="1:6" x14ac:dyDescent="0.3">
      <c r="A135" t="s">
        <v>258</v>
      </c>
      <c r="B135" t="s">
        <v>781</v>
      </c>
      <c r="C135" t="s">
        <v>1051</v>
      </c>
      <c r="D135" t="s">
        <v>591</v>
      </c>
      <c r="E135" t="str">
        <f>VLOOKUP(B135,data1,2,FALSE)</f>
        <v>Does your work affect your health? (IF YES) Stress?</v>
      </c>
      <c r="F135" t="str">
        <f t="shared" si="2"/>
        <v>Health affected: Stress</v>
      </c>
    </row>
    <row r="136" spans="1:6" x14ac:dyDescent="0.3">
      <c r="A136" t="s">
        <v>258</v>
      </c>
      <c r="B136" t="s">
        <v>782</v>
      </c>
      <c r="C136" t="s">
        <v>1052</v>
      </c>
      <c r="D136" t="s">
        <v>594</v>
      </c>
      <c r="E136" t="str">
        <f>VLOOKUP(B136,data1,2,FALSE)</f>
        <v>Does your work affect your health? (IF YES) Overall fatigue?</v>
      </c>
      <c r="F136" t="str">
        <f t="shared" si="2"/>
        <v>Health affected: Overall fatigue</v>
      </c>
    </row>
    <row r="137" spans="1:6" x14ac:dyDescent="0.3">
      <c r="A137" t="s">
        <v>258</v>
      </c>
      <c r="B137" t="s">
        <v>783</v>
      </c>
      <c r="C137" t="s">
        <v>1053</v>
      </c>
      <c r="D137" t="s">
        <v>597</v>
      </c>
      <c r="E137" t="str">
        <f>VLOOKUP(B137,data1,2,FALSE)</f>
        <v>Does your work affect your health? (IF YES) Sleeping problems?</v>
      </c>
      <c r="F137" t="str">
        <f t="shared" si="2"/>
        <v>Health affected: Sleeping problems</v>
      </c>
    </row>
    <row r="138" spans="1:6" x14ac:dyDescent="0.3">
      <c r="A138" t="s">
        <v>258</v>
      </c>
      <c r="B138" t="s">
        <v>784</v>
      </c>
      <c r="C138" t="s">
        <v>1054</v>
      </c>
      <c r="D138" t="s">
        <v>600</v>
      </c>
      <c r="E138" t="str">
        <f>VLOOKUP(B138,data1,2,FALSE)</f>
        <v>Does your work affect your health? (IF YES) Allergies?</v>
      </c>
      <c r="F138" t="str">
        <f t="shared" si="2"/>
        <v>Health affected: Allergies</v>
      </c>
    </row>
    <row r="139" spans="1:6" x14ac:dyDescent="0.3">
      <c r="A139" t="s">
        <v>258</v>
      </c>
      <c r="B139" t="s">
        <v>785</v>
      </c>
      <c r="C139" t="s">
        <v>1055</v>
      </c>
      <c r="D139" t="s">
        <v>603</v>
      </c>
      <c r="E139" t="str">
        <f>VLOOKUP(B139,data1,2,FALSE)</f>
        <v>Does your work affect your health? (IF YES) Anxiety?</v>
      </c>
      <c r="F139" t="str">
        <f t="shared" si="2"/>
        <v>Health affected: Anxiety</v>
      </c>
    </row>
    <row r="140" spans="1:6" x14ac:dyDescent="0.3">
      <c r="A140" t="s">
        <v>258</v>
      </c>
      <c r="B140" t="s">
        <v>786</v>
      </c>
      <c r="C140" t="s">
        <v>1056</v>
      </c>
      <c r="D140" t="s">
        <v>606</v>
      </c>
      <c r="E140" t="str">
        <f>VLOOKUP(B140,data1,2,FALSE)</f>
        <v>Does your work affect your health? (IF YES) Irritability?</v>
      </c>
      <c r="F140" t="str">
        <f t="shared" si="2"/>
        <v>Health affected: Irritability</v>
      </c>
    </row>
    <row r="141" spans="1:6" x14ac:dyDescent="0.3">
      <c r="A141" t="s">
        <v>258</v>
      </c>
      <c r="B141" t="s">
        <v>787</v>
      </c>
      <c r="C141" t="s">
        <v>1057</v>
      </c>
      <c r="D141" t="s">
        <v>609</v>
      </c>
      <c r="E141" t="str">
        <f>VLOOKUP(B141,data1,2,FALSE)</f>
        <v>Does your work affect your health? (IF YES) Other?</v>
      </c>
      <c r="F141" t="str">
        <f t="shared" si="2"/>
        <v>Health affected: Other</v>
      </c>
    </row>
    <row r="142" spans="1:6" x14ac:dyDescent="0.3">
      <c r="B142" t="s">
        <v>943</v>
      </c>
      <c r="C142" t="s">
        <v>943</v>
      </c>
      <c r="E142" t="e">
        <f>VLOOKUP(B142,data1,2,FALSE)</f>
        <v>#N/A</v>
      </c>
      <c r="F142" t="str">
        <f t="shared" si="2"/>
        <v/>
      </c>
    </row>
    <row r="143" spans="1:6" x14ac:dyDescent="0.3">
      <c r="A143" t="s">
        <v>258</v>
      </c>
      <c r="B143" t="s">
        <v>788</v>
      </c>
      <c r="C143" t="s">
        <v>1058</v>
      </c>
      <c r="D143" t="s">
        <v>612</v>
      </c>
      <c r="E143" t="str">
        <f>VLOOKUP(B143,data1,2,FALSE)</f>
        <v>In your main paid job, how many days over the past 12 months were you absent due to: An accident at work?</v>
      </c>
      <c r="F143" t="str">
        <f t="shared" si="2"/>
        <v>Absence: accident at work</v>
      </c>
    </row>
    <row r="144" spans="1:6" x14ac:dyDescent="0.3">
      <c r="A144" t="s">
        <v>258</v>
      </c>
      <c r="B144" t="s">
        <v>789</v>
      </c>
      <c r="C144" t="s">
        <v>1059</v>
      </c>
      <c r="D144" t="s">
        <v>615</v>
      </c>
      <c r="E144" t="str">
        <f>VLOOKUP(B144,data1,2,FALSE)</f>
        <v>In your main paid job, how many days over the past 12 months were you absent due to: Health problems caused by your work?</v>
      </c>
      <c r="F144" t="str">
        <f t="shared" si="2"/>
        <v>Absence: work-related health problems</v>
      </c>
    </row>
    <row r="145" spans="1:6" x14ac:dyDescent="0.3">
      <c r="A145" t="s">
        <v>258</v>
      </c>
      <c r="B145" t="s">
        <v>790</v>
      </c>
      <c r="C145" t="s">
        <v>1060</v>
      </c>
      <c r="D145" t="s">
        <v>618</v>
      </c>
      <c r="E145" t="str">
        <f>VLOOKUP(B145,data1,2,FALSE)</f>
        <v>In your main paid job, how many days over the past 12 months were you absent due to: Other health problems?</v>
      </c>
      <c r="F145" t="str">
        <f t="shared" si="2"/>
        <v>Absence: other health problems</v>
      </c>
    </row>
    <row r="146" spans="1:6" x14ac:dyDescent="0.3">
      <c r="B146" t="s">
        <v>943</v>
      </c>
      <c r="C146" t="s">
        <v>943</v>
      </c>
      <c r="E146" t="e">
        <f>VLOOKUP(B146,data1,2,FALSE)</f>
        <v>#N/A</v>
      </c>
      <c r="F146" t="str">
        <f t="shared" si="2"/>
        <v/>
      </c>
    </row>
    <row r="147" spans="1:6" x14ac:dyDescent="0.3">
      <c r="A147" t="s">
        <v>258</v>
      </c>
      <c r="B147" t="s">
        <v>791</v>
      </c>
      <c r="C147" t="s">
        <v>1061</v>
      </c>
      <c r="D147" t="s">
        <v>621</v>
      </c>
      <c r="E147" t="str">
        <f>VLOOKUP(B147,data1,2,FALSE)</f>
        <v>Over the past 12 months did you work when you were sick?</v>
      </c>
      <c r="F147" t="str">
        <f t="shared" si="2"/>
        <v>Worked while sick</v>
      </c>
    </row>
    <row r="148" spans="1:6" x14ac:dyDescent="0.3">
      <c r="A148" t="s">
        <v>258</v>
      </c>
      <c r="B148" t="s">
        <v>792</v>
      </c>
      <c r="C148" t="s">
        <v>1062</v>
      </c>
      <c r="D148" t="s">
        <v>624</v>
      </c>
      <c r="E148" t="str">
        <f>VLOOKUP(B148,data1,2,FALSE)</f>
        <v>On the whole, are you very satisfied, satisfied, not very satisfied or not at all satisfied with working conditions in your main paid job?</v>
      </c>
      <c r="F148" t="str">
        <f t="shared" si="2"/>
        <v>Satisfaction with working conditions</v>
      </c>
    </row>
    <row r="149" spans="1:6" x14ac:dyDescent="0.3">
      <c r="A149" t="s">
        <v>258</v>
      </c>
      <c r="B149" t="s">
        <v>793</v>
      </c>
      <c r="C149" t="s">
        <v>1063</v>
      </c>
      <c r="D149" t="s">
        <v>627</v>
      </c>
      <c r="E149" t="str">
        <f>VLOOKUP(B149,data1,2,FALSE)</f>
        <v>Do you think you will be able to do the same job you are doing now when you are 60 years old?</v>
      </c>
      <c r="F149" t="str">
        <f t="shared" si="2"/>
        <v>Able to do same job at 60</v>
      </c>
    </row>
    <row r="150" spans="1:6" x14ac:dyDescent="0.3">
      <c r="B150" t="s">
        <v>943</v>
      </c>
      <c r="C150" t="s">
        <v>943</v>
      </c>
      <c r="E150" t="e">
        <f>VLOOKUP(B150,data1,2,FALSE)</f>
        <v>#N/A</v>
      </c>
      <c r="F150" t="str">
        <f t="shared" si="2"/>
        <v/>
      </c>
    </row>
    <row r="151" spans="1:6" x14ac:dyDescent="0.3">
      <c r="A151" t="s">
        <v>258</v>
      </c>
      <c r="B151" t="s">
        <v>794</v>
      </c>
      <c r="C151" t="s">
        <v>1064</v>
      </c>
      <c r="D151" t="s">
        <v>261</v>
      </c>
      <c r="E151" t="str">
        <f>VLOOKUP(B151,data1,2,FALSE)</f>
        <v>(EF1) What is your marital status? (Single, Married, Divorced, etc.)</v>
      </c>
      <c r="F151" t="str">
        <f t="shared" si="2"/>
        <v>Marital status</v>
      </c>
    </row>
    <row r="152" spans="1:6" x14ac:dyDescent="0.3">
      <c r="A152" t="s">
        <v>258</v>
      </c>
      <c r="B152" t="s">
        <v>795</v>
      </c>
      <c r="C152" t="s">
        <v>1065</v>
      </c>
      <c r="D152" t="s">
        <v>632</v>
      </c>
      <c r="E152" t="str">
        <f>VLOOKUP(B152,data1,2,FALSE)</f>
        <v>(EF2) Sex of the respondent?</v>
      </c>
      <c r="F152" t="str">
        <f t="shared" si="2"/>
        <v>Sex of respondent</v>
      </c>
    </row>
    <row r="153" spans="1:6" x14ac:dyDescent="0.3">
      <c r="A153" t="s">
        <v>258</v>
      </c>
      <c r="B153" t="s">
        <v>796</v>
      </c>
      <c r="C153" t="s">
        <v>1066</v>
      </c>
      <c r="D153" t="s">
        <v>635</v>
      </c>
      <c r="E153" t="str">
        <f>VLOOKUP(B153,data1,2,FALSE)</f>
        <v>(EF3) How many people live in your household?</v>
      </c>
      <c r="F153" t="str">
        <f t="shared" si="2"/>
        <v>Number of people in household</v>
      </c>
    </row>
    <row r="154" spans="1:6" x14ac:dyDescent="0.3">
      <c r="A154" t="s">
        <v>258</v>
      </c>
      <c r="B154" t="s">
        <v>797</v>
      </c>
      <c r="C154" t="s">
        <v>1067</v>
      </c>
      <c r="D154" t="s">
        <v>261</v>
      </c>
      <c r="E154" t="str">
        <f>VLOOKUP(B154,data1,2,FALSE)</f>
        <v>(EF4) How many children under 15 are currently living at home?</v>
      </c>
      <c r="F154" t="str">
        <f t="shared" si="2"/>
        <v>Children under 15 in household</v>
      </c>
    </row>
    <row r="155" spans="1:6" x14ac:dyDescent="0.3">
      <c r="A155" t="s">
        <v>258</v>
      </c>
      <c r="B155" t="s">
        <v>798</v>
      </c>
      <c r="C155" t="s">
        <v>1068</v>
      </c>
      <c r="D155" t="s">
        <v>640</v>
      </c>
      <c r="E155" t="str">
        <f>VLOOKUP(B155,data1,2,FALSE)</f>
        <v>(EF5) Are you: The person mainly responsible for ordinary shopping/looking after home / The person who contributes most to household income?</v>
      </c>
      <c r="F155" t="str">
        <f t="shared" si="2"/>
        <v>Responsible for home / main income</v>
      </c>
    </row>
    <row r="156" spans="1:6" x14ac:dyDescent="0.3">
      <c r="A156" t="s">
        <v>258</v>
      </c>
      <c r="B156" t="s">
        <v>799</v>
      </c>
      <c r="C156" t="s">
        <v>1069</v>
      </c>
      <c r="D156" t="s">
        <v>261</v>
      </c>
      <c r="E156" t="str">
        <f>VLOOKUP(B156,data1,2,FALSE)</f>
        <v>(EF6) How often are you involved in any of the following activities outside work (Voluntary, Political, Caring for children/elderly, Cooking, Housework, Training, Sports, Cultural, Internet/Email, Leisure)?</v>
      </c>
      <c r="F156" t="str">
        <f t="shared" si="2"/>
        <v>Activities outside work</v>
      </c>
    </row>
    <row r="157" spans="1:6" x14ac:dyDescent="0.3">
      <c r="A157" t="s">
        <v>258</v>
      </c>
      <c r="B157" t="s">
        <v>800</v>
      </c>
      <c r="C157" t="s">
        <v>1070</v>
      </c>
      <c r="D157" t="s">
        <v>645</v>
      </c>
      <c r="E157" t="str">
        <f>VLOOKUP(B157,data1,2,FALSE)</f>
        <v>(EF7) What is on average your net monthly income from your main paid job?</v>
      </c>
      <c r="F157" t="str">
        <f t="shared" si="2"/>
        <v>Net monthly income</v>
      </c>
    </row>
    <row r="158" spans="1:6" x14ac:dyDescent="0.3">
      <c r="A158" t="s">
        <v>258</v>
      </c>
      <c r="B158" t="s">
        <v>801</v>
      </c>
      <c r="C158" t="s">
        <v>1071</v>
      </c>
      <c r="D158" t="s">
        <v>648</v>
      </c>
      <c r="E158" t="str">
        <f>VLOOKUP(B158,data1,2,FALSE)</f>
        <v>(EF8) Is your immediate boss a man or a woman?</v>
      </c>
      <c r="F158" t="str">
        <f t="shared" si="2"/>
        <v>Is your immediate boss a man or a woman?</v>
      </c>
    </row>
    <row r="159" spans="1:6" x14ac:dyDescent="0.3">
      <c r="A159" t="s">
        <v>258</v>
      </c>
      <c r="B159" t="s">
        <v>802</v>
      </c>
      <c r="C159" t="s">
        <v>1072</v>
      </c>
      <c r="D159" t="s">
        <v>651</v>
      </c>
      <c r="E159" t="str">
        <f>VLOOKUP(B159,data1,2,FALSE)</f>
        <v>(EF9) What does your remuneration include? (Basic salary, piece rate, overtime, extra payments, shares, profit sharing, etc.)</v>
      </c>
      <c r="F159" t="str">
        <f t="shared" si="2"/>
        <v>Remuneration components (employee)</v>
      </c>
    </row>
    <row r="160" spans="1:6" x14ac:dyDescent="0.3">
      <c r="A160" t="s">
        <v>258</v>
      </c>
      <c r="B160" t="s">
        <v>803</v>
      </c>
      <c r="C160" t="s">
        <v>1073</v>
      </c>
      <c r="D160" t="s">
        <v>654</v>
      </c>
      <c r="E160" t="str">
        <f>VLOOKUP(B160,data1,2,FALSE)</f>
        <v>(EF10) What does your remuneration include? (Self-employed: Income from self-employment, profit sharing, shares, etc.)</v>
      </c>
      <c r="F160" t="str">
        <f t="shared" si="2"/>
        <v>Remuneration components (self-employed)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712E-A15B-431F-AF62-38C750E9DB8E}">
  <dimension ref="A1:I12"/>
  <sheetViews>
    <sheetView workbookViewId="0">
      <selection activeCell="A4" sqref="A4:E4"/>
    </sheetView>
  </sheetViews>
  <sheetFormatPr defaultRowHeight="14.4" x14ac:dyDescent="0.3"/>
  <cols>
    <col min="2" max="2" width="16.5546875" customWidth="1"/>
  </cols>
  <sheetData>
    <row r="1" spans="1:9" x14ac:dyDescent="0.3">
      <c r="A1" t="s">
        <v>1074</v>
      </c>
      <c r="B1" t="s">
        <v>1075</v>
      </c>
      <c r="C1" t="s">
        <v>1076</v>
      </c>
      <c r="D1" t="s">
        <v>1077</v>
      </c>
      <c r="E1" t="s">
        <v>261</v>
      </c>
    </row>
    <row r="2" spans="1:9" x14ac:dyDescent="0.3">
      <c r="A2" t="s">
        <v>1074</v>
      </c>
      <c r="B2" t="s">
        <v>1078</v>
      </c>
      <c r="C2" t="s">
        <v>262</v>
      </c>
      <c r="D2" t="s">
        <v>1079</v>
      </c>
      <c r="E2" t="s">
        <v>1080</v>
      </c>
    </row>
    <row r="3" spans="1:9" x14ac:dyDescent="0.3">
      <c r="A3" t="s">
        <v>1074</v>
      </c>
      <c r="B3" t="s">
        <v>1081</v>
      </c>
      <c r="C3" t="s">
        <v>1082</v>
      </c>
      <c r="D3" t="s">
        <v>1083</v>
      </c>
      <c r="E3" t="s">
        <v>1084</v>
      </c>
    </row>
    <row r="4" spans="1:9" x14ac:dyDescent="0.3">
      <c r="A4" t="s">
        <v>1074</v>
      </c>
      <c r="B4" t="s">
        <v>1085</v>
      </c>
      <c r="C4" t="s">
        <v>1086</v>
      </c>
      <c r="D4" t="s">
        <v>1087</v>
      </c>
      <c r="E4" t="s">
        <v>1088</v>
      </c>
    </row>
    <row r="5" spans="1:9" x14ac:dyDescent="0.3">
      <c r="A5" t="s">
        <v>1074</v>
      </c>
      <c r="B5" t="s">
        <v>1089</v>
      </c>
      <c r="C5" t="s">
        <v>268</v>
      </c>
      <c r="D5" t="s">
        <v>5</v>
      </c>
      <c r="E5" t="s">
        <v>655</v>
      </c>
      <c r="F5" t="s">
        <v>1077</v>
      </c>
      <c r="G5" t="s">
        <v>261</v>
      </c>
    </row>
    <row r="6" spans="1:9" x14ac:dyDescent="0.3">
      <c r="A6" t="s">
        <v>1074</v>
      </c>
      <c r="B6" t="s">
        <v>1090</v>
      </c>
      <c r="C6" t="s">
        <v>1091</v>
      </c>
      <c r="D6" t="s">
        <v>8</v>
      </c>
      <c r="E6" t="s">
        <v>9</v>
      </c>
      <c r="F6" t="s">
        <v>10</v>
      </c>
      <c r="G6" t="s">
        <v>1092</v>
      </c>
      <c r="H6" t="s">
        <v>1093</v>
      </c>
      <c r="I6" t="s">
        <v>1094</v>
      </c>
    </row>
    <row r="7" spans="1:9" x14ac:dyDescent="0.3">
      <c r="A7" t="s">
        <v>1074</v>
      </c>
      <c r="B7" t="s">
        <v>1095</v>
      </c>
      <c r="C7" t="s">
        <v>1096</v>
      </c>
      <c r="D7" t="s">
        <v>1097</v>
      </c>
      <c r="E7" t="s">
        <v>1098</v>
      </c>
    </row>
    <row r="8" spans="1:9" x14ac:dyDescent="0.3">
      <c r="A8" t="s">
        <v>1074</v>
      </c>
      <c r="B8" t="s">
        <v>1099</v>
      </c>
      <c r="C8" t="s">
        <v>275</v>
      </c>
      <c r="D8" t="s">
        <v>1100</v>
      </c>
      <c r="E8" t="s">
        <v>1101</v>
      </c>
    </row>
    <row r="9" spans="1:9" x14ac:dyDescent="0.3">
      <c r="A9" t="s">
        <v>1074</v>
      </c>
      <c r="B9" t="s">
        <v>1102</v>
      </c>
      <c r="C9" t="s">
        <v>1103</v>
      </c>
      <c r="D9" t="s">
        <v>15</v>
      </c>
      <c r="E9" t="s">
        <v>16</v>
      </c>
      <c r="F9" t="s">
        <v>655</v>
      </c>
      <c r="G9" t="s">
        <v>1104</v>
      </c>
      <c r="H9" t="s">
        <v>1105</v>
      </c>
    </row>
    <row r="10" spans="1:9" x14ac:dyDescent="0.3">
      <c r="A10" t="s">
        <v>1074</v>
      </c>
      <c r="B10" t="s">
        <v>1106</v>
      </c>
      <c r="C10" t="s">
        <v>1107</v>
      </c>
      <c r="D10" t="s">
        <v>1108</v>
      </c>
      <c r="E10" t="s">
        <v>1109</v>
      </c>
    </row>
    <row r="11" spans="1:9" x14ac:dyDescent="0.3">
      <c r="A11" t="s">
        <v>1074</v>
      </c>
      <c r="B11" t="s">
        <v>1110</v>
      </c>
      <c r="C11" t="s">
        <v>284</v>
      </c>
      <c r="D11" t="s">
        <v>1111</v>
      </c>
      <c r="E11" t="s">
        <v>1112</v>
      </c>
    </row>
    <row r="12" spans="1:9" x14ac:dyDescent="0.3">
      <c r="A12" t="s">
        <v>1074</v>
      </c>
      <c r="B12" t="s">
        <v>1113</v>
      </c>
      <c r="C12" t="s">
        <v>1114</v>
      </c>
      <c r="D12" t="s">
        <v>1115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6DDF-9801-4219-9D28-B4887E66CCE1}">
  <dimension ref="A1:G332"/>
  <sheetViews>
    <sheetView topLeftCell="A314" workbookViewId="0">
      <selection activeCell="A94" sqref="A94:E331"/>
    </sheetView>
  </sheetViews>
  <sheetFormatPr defaultRowHeight="14.4" x14ac:dyDescent="0.3"/>
  <cols>
    <col min="3" max="3" width="45" customWidth="1"/>
    <col min="4" max="4" width="27.5546875" customWidth="1"/>
    <col min="5" max="5" width="22.44140625" customWidth="1"/>
  </cols>
  <sheetData>
    <row r="1" spans="1:7" x14ac:dyDescent="0.3">
      <c r="A1" t="s">
        <v>1116</v>
      </c>
      <c r="B1" t="s">
        <v>1117</v>
      </c>
      <c r="C1" t="s">
        <v>1118</v>
      </c>
      <c r="D1" t="s">
        <v>1119</v>
      </c>
      <c r="E1" t="s">
        <v>1120</v>
      </c>
      <c r="F1" t="s">
        <v>1468</v>
      </c>
    </row>
    <row r="2" spans="1:7" x14ac:dyDescent="0.3">
      <c r="A2" t="s">
        <v>1121</v>
      </c>
      <c r="B2" t="s">
        <v>1122</v>
      </c>
      <c r="C2" t="s">
        <v>1123</v>
      </c>
      <c r="E2" t="str">
        <f>VLOOKUP(B2,data3,2,FALSE)</f>
        <v>What is your nationality? Please tell me the country (or countries) that apply. 1</v>
      </c>
      <c r="F2" t="str">
        <f>LEFT(E2, FIND("@", SUBSTITUTE(E2, " ", "@", LEN(E2)-LEN(SUBSTITUTE(E2," ",""))))-1)</f>
        <v>What is your nationality? Please tell me the country (or countries) that apply.</v>
      </c>
    </row>
    <row r="3" spans="1:7" x14ac:dyDescent="0.3">
      <c r="A3" t="s">
        <v>1121</v>
      </c>
      <c r="B3" t="s">
        <v>1124</v>
      </c>
      <c r="C3" t="s">
        <v>805</v>
      </c>
      <c r="D3" t="s">
        <v>1125</v>
      </c>
      <c r="E3" t="str">
        <f>VLOOKUP(B3,data3,2,FALSE)</f>
        <v>What is your main paid job? Please give me your job title. 2</v>
      </c>
      <c r="F3" t="str">
        <f t="shared" ref="F3:F66" si="0">LEFT(E3, FIND("@", SUBSTITUTE(E3, " ", "@", LEN(E3)-LEN(SUBSTITUTE(E3," ",""))))-1)</f>
        <v>What is your main paid job? Please give me your job title.</v>
      </c>
    </row>
    <row r="4" spans="1:7" x14ac:dyDescent="0.3">
      <c r="A4" t="s">
        <v>1121</v>
      </c>
      <c r="B4" t="s">
        <v>1126</v>
      </c>
      <c r="C4" t="s">
        <v>814</v>
      </c>
      <c r="D4" t="s">
        <v>1127</v>
      </c>
      <c r="E4" t="str">
        <f>VLOOKUP(B4,data3,2,FALSE)</f>
        <v>How many years have you been in your company or organisation? 3</v>
      </c>
      <c r="F4" t="str">
        <f t="shared" si="0"/>
        <v>How many years have you been in your company or organisation?</v>
      </c>
    </row>
    <row r="5" spans="1:7" x14ac:dyDescent="0.3">
      <c r="A5" t="s">
        <v>1121</v>
      </c>
      <c r="B5" t="s">
        <v>1129</v>
      </c>
      <c r="C5" t="s">
        <v>815</v>
      </c>
      <c r="E5" t="str">
        <f>VLOOKUP(B5,data3,2,FALSE)</f>
        <v>How many years have you been in your present main job? 4</v>
      </c>
      <c r="F5" t="str">
        <f t="shared" si="0"/>
        <v>How many years have you been in your present main job?</v>
      </c>
    </row>
    <row r="6" spans="1:7" x14ac:dyDescent="0.3">
      <c r="A6" t="s">
        <v>1121</v>
      </c>
      <c r="B6" t="s">
        <v>1130</v>
      </c>
      <c r="C6" t="s">
        <v>942</v>
      </c>
      <c r="D6" t="s">
        <v>5</v>
      </c>
      <c r="E6" t="str">
        <f>VLOOKUP(B6,data3,2,FALSE)</f>
        <v>Are you mainly: Self-employed (with/without employees), Employed, or Other? 5</v>
      </c>
      <c r="F6" t="str">
        <f t="shared" si="0"/>
        <v>Are you mainly: Self-employed (with/without employees), Employed, or Other?</v>
      </c>
    </row>
    <row r="7" spans="1:7" x14ac:dyDescent="0.3">
      <c r="A7" t="s">
        <v>1121</v>
      </c>
      <c r="B7" t="s">
        <v>1132</v>
      </c>
      <c r="C7" t="s">
        <v>1133</v>
      </c>
      <c r="D7" t="s">
        <v>8</v>
      </c>
      <c r="E7" t="str">
        <f>VLOOKUP(B7,data3,2,FALSE)</f>
        <v>Is it: On an unlimited permanent contract, fixed term contract, temporary agency contract, apprenticeship, or other? 6</v>
      </c>
      <c r="F7" t="str">
        <f t="shared" si="0"/>
        <v>Is it: On an unlimited permanent contract, fixed term contract, temporary agency contract, apprenticeship, or other?</v>
      </c>
      <c r="G7" t="s">
        <v>1134</v>
      </c>
    </row>
    <row r="8" spans="1:7" x14ac:dyDescent="0.3">
      <c r="A8" t="s">
        <v>1121</v>
      </c>
      <c r="B8" t="s">
        <v>1135</v>
      </c>
      <c r="C8" t="s">
        <v>1136</v>
      </c>
      <c r="D8" t="s">
        <v>1137</v>
      </c>
      <c r="E8" t="str">
        <f>VLOOKUP(B8,data3,2,FALSE)</f>
        <v>What is the exact duration of the contract in number of years and months? 7</v>
      </c>
      <c r="F8" t="str">
        <f t="shared" si="0"/>
        <v>What is the exact duration of the contract in number of years and months?</v>
      </c>
    </row>
    <row r="9" spans="1:7" x14ac:dyDescent="0.3">
      <c r="A9" t="s">
        <v>1121</v>
      </c>
      <c r="B9" t="s">
        <v>1138</v>
      </c>
      <c r="C9" t="s">
        <v>810</v>
      </c>
      <c r="D9" t="s">
        <v>1139</v>
      </c>
      <c r="E9" t="str">
        <f>VLOOKUP(B9,data3,2,FALSE)</f>
        <v>What is the main activity of the company or organisation where you work? 8</v>
      </c>
      <c r="F9" t="str">
        <f t="shared" si="0"/>
        <v>What is the main activity of the company or organisation where you work?</v>
      </c>
    </row>
    <row r="10" spans="1:7" x14ac:dyDescent="0.3">
      <c r="A10" t="s">
        <v>1121</v>
      </c>
      <c r="B10" t="s">
        <v>1140</v>
      </c>
      <c r="C10" t="s">
        <v>1141</v>
      </c>
      <c r="D10" t="s">
        <v>15</v>
      </c>
      <c r="E10" t="str">
        <f>VLOOKUP(B10,data3,2,FALSE)</f>
        <v>Are you working in: National or local government services, State-owned company, Another company/business, or Other? 9</v>
      </c>
      <c r="F10" t="str">
        <f t="shared" si="0"/>
        <v>Are you working in: National or local government services, State-owned company, Another company/business, or Other?</v>
      </c>
    </row>
    <row r="11" spans="1:7" x14ac:dyDescent="0.3">
      <c r="A11" t="s">
        <v>1121</v>
      </c>
      <c r="B11" t="s">
        <v>1142</v>
      </c>
      <c r="C11" t="s">
        <v>812</v>
      </c>
      <c r="D11" t="s">
        <v>1143</v>
      </c>
      <c r="E11" t="str">
        <f>VLOOKUP(B11,data3,2,FALSE)</f>
        <v>How many people in total work in the local unit of the establishment where you work? 10</v>
      </c>
      <c r="F11" t="str">
        <f t="shared" si="0"/>
        <v>How many people in total work in the local unit of the establishment where you work?</v>
      </c>
    </row>
    <row r="12" spans="1:7" x14ac:dyDescent="0.3">
      <c r="A12" t="s">
        <v>1121</v>
      </c>
      <c r="B12" t="s">
        <v>1144</v>
      </c>
      <c r="C12" t="s">
        <v>1145</v>
      </c>
      <c r="D12" t="s">
        <v>1146</v>
      </c>
      <c r="E12" t="str">
        <f>VLOOKUP(B12,data3,2,FALSE)</f>
        <v>How many people work under your supervision, for whom pay increases, bonuses or promotion depend directly on you? 11</v>
      </c>
      <c r="F12" t="str">
        <f t="shared" si="0"/>
        <v>How many people work under your supervision, for whom pay increases, bonuses or promotion depend directly on you?</v>
      </c>
    </row>
    <row r="13" spans="1:7" x14ac:dyDescent="0.3">
      <c r="A13" t="s">
        <v>1121</v>
      </c>
      <c r="B13" t="s">
        <v>1147</v>
      </c>
      <c r="C13" t="s">
        <v>1148</v>
      </c>
      <c r="D13" t="s">
        <v>1149</v>
      </c>
      <c r="E13" t="str">
        <f>VLOOKUP(B13,data3,2,FALSE)</f>
        <v>Besides your main paid job, do you have any other paid job? 12</v>
      </c>
      <c r="F13" t="str">
        <f t="shared" si="0"/>
        <v>Besides your main paid job, do you have any other paid job?</v>
      </c>
    </row>
    <row r="14" spans="1:7" x14ac:dyDescent="0.3">
      <c r="A14" t="s">
        <v>1121</v>
      </c>
      <c r="B14" t="s">
        <v>1150</v>
      </c>
      <c r="C14" t="s">
        <v>1151</v>
      </c>
      <c r="E14" t="str">
        <f>VLOOKUP(B14,data3,2,FALSE)</f>
        <v>For how many hours a week (in other paid job)? 13</v>
      </c>
      <c r="F14" t="str">
        <f t="shared" si="0"/>
        <v>For how many hours a week (in other paid job)?</v>
      </c>
    </row>
    <row r="15" spans="1:7" x14ac:dyDescent="0.3">
      <c r="A15" t="s">
        <v>1121</v>
      </c>
      <c r="B15" t="s">
        <v>1152</v>
      </c>
      <c r="C15" t="s">
        <v>1153</v>
      </c>
      <c r="D15" t="s">
        <v>1154</v>
      </c>
      <c r="E15" t="str">
        <f>VLOOKUP(B15,data3,2,FALSE)</f>
        <v>Are you exposed at work to: Vibrations from hand tools, machinery, etc.? 14</v>
      </c>
      <c r="F15" t="str">
        <f t="shared" si="0"/>
        <v>Are you exposed at work to: Vibrations from hand tools, machinery, etc.?</v>
      </c>
    </row>
    <row r="16" spans="1:7" x14ac:dyDescent="0.3">
      <c r="A16" t="s">
        <v>1121</v>
      </c>
      <c r="B16" t="s">
        <v>1155</v>
      </c>
      <c r="C16" t="s">
        <v>1156</v>
      </c>
      <c r="D16" t="s">
        <v>1157</v>
      </c>
      <c r="E16" t="str">
        <f>VLOOKUP(B16,data3,2,FALSE)</f>
        <v>Are you exposed at work to: Noise so loud that you would have to raise your voice to talk to people? 15</v>
      </c>
      <c r="F16" t="str">
        <f t="shared" si="0"/>
        <v>Are you exposed at work to: Noise so loud that you would have to raise your voice to talk to people?</v>
      </c>
    </row>
    <row r="17" spans="1:6" x14ac:dyDescent="0.3">
      <c r="A17" t="s">
        <v>1121</v>
      </c>
      <c r="B17" t="s">
        <v>1158</v>
      </c>
      <c r="C17" t="s">
        <v>1159</v>
      </c>
      <c r="D17" t="s">
        <v>1160</v>
      </c>
      <c r="E17" t="str">
        <f>VLOOKUP(B17,data3,2,FALSE)</f>
        <v>Are you exposed at work to: High temperatures which make you perspire even when not working? 16</v>
      </c>
      <c r="F17" t="str">
        <f t="shared" si="0"/>
        <v>Are you exposed at work to: High temperatures which make you perspire even when not working?</v>
      </c>
    </row>
    <row r="18" spans="1:6" x14ac:dyDescent="0.3">
      <c r="A18" t="s">
        <v>1121</v>
      </c>
      <c r="B18" t="s">
        <v>1161</v>
      </c>
      <c r="C18" t="s">
        <v>1162</v>
      </c>
      <c r="D18" t="s">
        <v>1163</v>
      </c>
      <c r="E18" t="str">
        <f>VLOOKUP(B18,data3,2,FALSE)</f>
        <v>Are you exposed at work to: Low temperatures whether indoors or outdoors? 17</v>
      </c>
      <c r="F18" t="str">
        <f t="shared" si="0"/>
        <v>Are you exposed at work to: Low temperatures whether indoors or outdoors?</v>
      </c>
    </row>
    <row r="19" spans="1:6" x14ac:dyDescent="0.3">
      <c r="A19" t="s">
        <v>1121</v>
      </c>
      <c r="B19" t="s">
        <v>1164</v>
      </c>
      <c r="C19" t="s">
        <v>1165</v>
      </c>
      <c r="D19" t="s">
        <v>1166</v>
      </c>
      <c r="E19" t="str">
        <f>VLOOKUP(B19,data3,2,FALSE)</f>
        <v>Are you exposed at work to: Breathing in vapours, fumes, dust, or dangerous substances such as chemicals, infectious materials, etc.? 18</v>
      </c>
      <c r="F19" t="str">
        <f t="shared" si="0"/>
        <v>Are you exposed at work to: Breathing in vapours, fumes, dust, or dangerous substances such as chemicals, infectious materials, etc.?</v>
      </c>
    </row>
    <row r="20" spans="1:6" x14ac:dyDescent="0.3">
      <c r="A20" t="s">
        <v>1121</v>
      </c>
      <c r="B20" t="s">
        <v>1167</v>
      </c>
      <c r="C20" t="s">
        <v>1168</v>
      </c>
      <c r="D20" t="s">
        <v>1169</v>
      </c>
      <c r="E20" t="str">
        <f>VLOOKUP(B20,data3,2,FALSE)</f>
        <v>Are you exposed at work to: Handling or touching dangerous products or substances? 19</v>
      </c>
      <c r="F20" t="str">
        <f t="shared" si="0"/>
        <v>Are you exposed at work to: Handling or touching dangerous products or substances?</v>
      </c>
    </row>
    <row r="21" spans="1:6" x14ac:dyDescent="0.3">
      <c r="A21" t="s">
        <v>1121</v>
      </c>
      <c r="B21" t="s">
        <v>1170</v>
      </c>
      <c r="C21" t="s">
        <v>1171</v>
      </c>
      <c r="D21" t="s">
        <v>1172</v>
      </c>
      <c r="E21" t="str">
        <f>VLOOKUP(B21,data3,2,FALSE)</f>
        <v>Are you exposed at work to: Radiation such as X-rays, radioactive radiation, welding light, laser beams? 20</v>
      </c>
      <c r="F21" t="str">
        <f t="shared" si="0"/>
        <v>Are you exposed at work to: Radiation such as X-rays, radioactive radiation, welding light, laser beams?</v>
      </c>
    </row>
    <row r="22" spans="1:6" x14ac:dyDescent="0.3">
      <c r="A22" t="s">
        <v>1121</v>
      </c>
      <c r="B22" t="s">
        <v>1173</v>
      </c>
      <c r="C22" t="s">
        <v>1174</v>
      </c>
      <c r="D22" t="s">
        <v>1175</v>
      </c>
      <c r="E22" t="str">
        <f>VLOOKUP(B22,data3,2,FALSE)</f>
        <v>Does your main paid job involve: Painful or tiring positions? 21</v>
      </c>
      <c r="F22" t="str">
        <f t="shared" si="0"/>
        <v>Does your main paid job involve: Painful or tiring positions?</v>
      </c>
    </row>
    <row r="23" spans="1:6" x14ac:dyDescent="0.3">
      <c r="A23" t="s">
        <v>1121</v>
      </c>
      <c r="B23" t="s">
        <v>1176</v>
      </c>
      <c r="C23" t="s">
        <v>966</v>
      </c>
      <c r="D23" t="s">
        <v>1177</v>
      </c>
      <c r="E23" t="str">
        <f>VLOOKUP(B23,data3,2,FALSE)</f>
        <v>Does your main paid job involve: Carrying or moving heavy loads? 22</v>
      </c>
      <c r="F23" t="str">
        <f t="shared" si="0"/>
        <v>Does your main paid job involve: Carrying or moving heavy loads?</v>
      </c>
    </row>
    <row r="24" spans="1:6" x14ac:dyDescent="0.3">
      <c r="A24" t="s">
        <v>1121</v>
      </c>
      <c r="B24" t="s">
        <v>1178</v>
      </c>
      <c r="C24" t="s">
        <v>968</v>
      </c>
      <c r="D24" t="s">
        <v>1179</v>
      </c>
      <c r="E24" t="str">
        <f>VLOOKUP(B24,data3,2,FALSE)</f>
        <v>Does your main paid job involve: Repetitive hand or arm movements? 23</v>
      </c>
      <c r="F24" t="str">
        <f t="shared" si="0"/>
        <v>Does your main paid job involve: Repetitive hand or arm movements?</v>
      </c>
    </row>
    <row r="25" spans="1:6" x14ac:dyDescent="0.3">
      <c r="A25" t="s">
        <v>1121</v>
      </c>
      <c r="B25" t="s">
        <v>1180</v>
      </c>
      <c r="C25" t="s">
        <v>969</v>
      </c>
      <c r="D25" t="s">
        <v>1181</v>
      </c>
      <c r="E25" t="str">
        <f>VLOOKUP(B25,data3,2,FALSE)</f>
        <v>Does your main paid job involve: Working with computers: PCs, network, mainframe? 24</v>
      </c>
      <c r="F25" t="str">
        <f t="shared" si="0"/>
        <v>Does your main paid job involve: Working with computers: PCs, network, mainframe?</v>
      </c>
    </row>
    <row r="26" spans="1:6" x14ac:dyDescent="0.3">
      <c r="A26" t="s">
        <v>1121</v>
      </c>
      <c r="B26" t="s">
        <v>1182</v>
      </c>
      <c r="C26" t="s">
        <v>971</v>
      </c>
      <c r="D26" t="s">
        <v>1183</v>
      </c>
      <c r="E26" t="str">
        <f>VLOOKUP(B26,data3,2,FALSE)</f>
        <v>Does your main paid job involve: Teleworking from home with a PC? 25</v>
      </c>
      <c r="F26" t="str">
        <f t="shared" si="0"/>
        <v>Does your main paid job involve: Teleworking from home with a PC?</v>
      </c>
    </row>
    <row r="27" spans="1:6" x14ac:dyDescent="0.3">
      <c r="A27" t="s">
        <v>1121</v>
      </c>
      <c r="B27" t="s">
        <v>1184</v>
      </c>
      <c r="C27" t="s">
        <v>1185</v>
      </c>
      <c r="D27" t="s">
        <v>1186</v>
      </c>
      <c r="E27" t="str">
        <f>VLOOKUP(B27,data3,2,FALSE)</f>
        <v>Does your main paid job involve: Working at home (home being your normal workplace), excluding teleworking? 26</v>
      </c>
      <c r="F27" t="str">
        <f t="shared" si="0"/>
        <v>Does your main paid job involve: Working at home (home being your normal workplace), excluding teleworking?</v>
      </c>
    </row>
    <row r="28" spans="1:6" x14ac:dyDescent="0.3">
      <c r="A28" t="s">
        <v>1121</v>
      </c>
      <c r="B28" t="s">
        <v>1187</v>
      </c>
      <c r="C28" t="s">
        <v>1188</v>
      </c>
      <c r="D28" t="s">
        <v>1189</v>
      </c>
      <c r="E28" t="str">
        <f>VLOOKUP(B28,data3,2,FALSE)</f>
        <v>Does your main paid job involve: Dealing directly with people who are not employees at your workplace such as customers, passengers, pupils, patients, etc? 27</v>
      </c>
      <c r="F28" t="str">
        <f t="shared" si="0"/>
        <v>Does your main paid job involve: Dealing directly with people who are not employees at your workplace such as customers, passengers, pupils, patients, etc?</v>
      </c>
    </row>
    <row r="29" spans="1:6" x14ac:dyDescent="0.3">
      <c r="A29" t="s">
        <v>1121</v>
      </c>
      <c r="B29" t="s">
        <v>1190</v>
      </c>
      <c r="C29" t="s">
        <v>974</v>
      </c>
      <c r="D29" t="s">
        <v>1191</v>
      </c>
      <c r="E29" t="str">
        <f>VLOOKUP(B29,data3,2,FALSE)</f>
        <v>Does your main paid job involve: Wearing personal protective equipment? 28</v>
      </c>
      <c r="F29" t="str">
        <f t="shared" si="0"/>
        <v>Does your main paid job involve: Wearing personal protective equipment?</v>
      </c>
    </row>
    <row r="30" spans="1:6" x14ac:dyDescent="0.3">
      <c r="A30" t="s">
        <v>1121</v>
      </c>
      <c r="B30" t="s">
        <v>1192</v>
      </c>
      <c r="C30" t="s">
        <v>1193</v>
      </c>
      <c r="D30" t="s">
        <v>1194</v>
      </c>
      <c r="E30" t="str">
        <f>VLOOKUP(B30,data3,2,FALSE)</f>
        <v>Would you say you are very well informed... about the risks resulting from the use of materials, instruments or products which you handle in your job? 29</v>
      </c>
      <c r="F30" t="str">
        <f t="shared" si="0"/>
        <v>Would you say you are very well informed... about the risks resulting from the use of materials, instruments or products which you handle in your job?</v>
      </c>
    </row>
    <row r="31" spans="1:6" x14ac:dyDescent="0.3">
      <c r="A31" t="s">
        <v>1121</v>
      </c>
      <c r="B31" t="s">
        <v>1195</v>
      </c>
      <c r="C31" t="s">
        <v>1196</v>
      </c>
      <c r="D31" t="s">
        <v>1197</v>
      </c>
      <c r="E31" t="str">
        <f>VLOOKUP(B31,data3,2,FALSE)</f>
        <v>How many hours do you usually work per week, in your main paid job? 30</v>
      </c>
      <c r="F31" t="str">
        <f t="shared" si="0"/>
        <v>How many hours do you usually work per week, in your main paid job?</v>
      </c>
    </row>
    <row r="32" spans="1:6" x14ac:dyDescent="0.3">
      <c r="A32" t="s">
        <v>1121</v>
      </c>
      <c r="B32" t="s">
        <v>1198</v>
      </c>
      <c r="C32" t="s">
        <v>1199</v>
      </c>
      <c r="D32" t="s">
        <v>1200</v>
      </c>
      <c r="E32" t="str">
        <f>VLOOKUP(B32,data3,2,FALSE)</f>
        <v>In total, how many minutes per day do you normally spend travelling from home to work and back? 31</v>
      </c>
      <c r="F32" t="str">
        <f t="shared" si="0"/>
        <v>In total, how many minutes per day do you normally spend travelling from home to work and back?</v>
      </c>
    </row>
    <row r="33" spans="1:6" x14ac:dyDescent="0.3">
      <c r="A33" t="s">
        <v>1121</v>
      </c>
      <c r="B33" t="s">
        <v>1201</v>
      </c>
      <c r="C33" t="s">
        <v>979</v>
      </c>
      <c r="D33" t="s">
        <v>1202</v>
      </c>
      <c r="E33" t="str">
        <f>VLOOKUP(B33,data3,2,FALSE)</f>
        <v>Normally, how many times a month do you work at night, say for at least 2 hours between 10.00 pm and 05.00 am? 32</v>
      </c>
      <c r="F33" t="str">
        <f t="shared" si="0"/>
        <v>Normally, how many times a month do you work at night, say for at least 2 hours between 10.00 pm and 05.00 am?</v>
      </c>
    </row>
    <row r="34" spans="1:6" x14ac:dyDescent="0.3">
      <c r="A34" t="s">
        <v>1121</v>
      </c>
      <c r="B34" t="s">
        <v>1203</v>
      </c>
      <c r="C34" t="s">
        <v>980</v>
      </c>
      <c r="D34" t="s">
        <v>1204</v>
      </c>
      <c r="E34" t="str">
        <f>VLOOKUP(B34,data3,2,FALSE)</f>
        <v>And how many times a month do you work in the evening, for at least 2 hours between 6pm and 10pm? 33</v>
      </c>
      <c r="F34" t="str">
        <f t="shared" si="0"/>
        <v>And how many times a month do you work in the evening, for at least 2 hours between 6pm and 10pm?</v>
      </c>
    </row>
    <row r="35" spans="1:6" x14ac:dyDescent="0.3">
      <c r="A35" t="s">
        <v>1121</v>
      </c>
      <c r="B35" t="s">
        <v>1205</v>
      </c>
      <c r="C35" t="s">
        <v>1206</v>
      </c>
      <c r="D35" t="s">
        <v>1207</v>
      </c>
      <c r="E35" t="str">
        <f>VLOOKUP(B35,data3,2,FALSE)</f>
        <v>And how many times a month do you work on Sundays? 34</v>
      </c>
      <c r="F35" t="str">
        <f t="shared" si="0"/>
        <v>And how many times a month do you work on Sundays?</v>
      </c>
    </row>
    <row r="36" spans="1:6" x14ac:dyDescent="0.3">
      <c r="A36" t="s">
        <v>1121</v>
      </c>
      <c r="B36" t="s">
        <v>1208</v>
      </c>
      <c r="C36" t="s">
        <v>1209</v>
      </c>
      <c r="D36" t="s">
        <v>1210</v>
      </c>
      <c r="E36" t="str">
        <f>VLOOKUP(B36,data3,2,FALSE)</f>
        <v>And how many times a month do you work on Saturdays? 35</v>
      </c>
      <c r="F36" t="str">
        <f t="shared" si="0"/>
        <v>And how many times a month do you work on Saturdays?</v>
      </c>
    </row>
    <row r="37" spans="1:6" x14ac:dyDescent="0.3">
      <c r="A37" t="s">
        <v>1121</v>
      </c>
      <c r="B37" t="s">
        <v>1211</v>
      </c>
      <c r="C37" t="s">
        <v>1212</v>
      </c>
      <c r="D37" t="s">
        <v>1213</v>
      </c>
      <c r="E37" t="str">
        <f>VLOOKUP(B37,data3,2,FALSE)</f>
        <v>And how many times a month do you work more than 10 hours a day? 36</v>
      </c>
      <c r="F37" t="str">
        <f t="shared" si="0"/>
        <v>And how many times a month do you work more than 10 hours a day?</v>
      </c>
    </row>
    <row r="38" spans="1:6" x14ac:dyDescent="0.3">
      <c r="A38" t="s">
        <v>1121</v>
      </c>
      <c r="B38" t="s">
        <v>1214</v>
      </c>
      <c r="C38" t="s">
        <v>849</v>
      </c>
      <c r="D38" t="s">
        <v>1215</v>
      </c>
      <c r="E38" t="str">
        <f>VLOOKUP(B38,data3,2,FALSE)</f>
        <v>Do you work part-time? 37</v>
      </c>
      <c r="F38" t="str">
        <f t="shared" si="0"/>
        <v>Do you work part-time?</v>
      </c>
    </row>
    <row r="39" spans="1:6" x14ac:dyDescent="0.3">
      <c r="A39" t="s">
        <v>1121</v>
      </c>
      <c r="B39" t="s">
        <v>1216</v>
      </c>
      <c r="C39" t="s">
        <v>1217</v>
      </c>
      <c r="D39" t="s">
        <v>1218</v>
      </c>
      <c r="E39" t="str">
        <f>VLOOKUP(B39,data3,2,FALSE)</f>
        <v>Would you like to work: More hours, Less hours, or The same number of hours? 38</v>
      </c>
      <c r="F39" t="str">
        <f t="shared" si="0"/>
        <v>Would you like to work: More hours, Less hours, or The same number of hours?</v>
      </c>
    </row>
    <row r="40" spans="1:6" x14ac:dyDescent="0.3">
      <c r="A40" t="s">
        <v>1121</v>
      </c>
      <c r="B40" t="s">
        <v>1219</v>
      </c>
      <c r="C40" t="s">
        <v>985</v>
      </c>
      <c r="D40" t="s">
        <v>1220</v>
      </c>
      <c r="E40" t="str">
        <f>VLOOKUP(B40,data3,2,FALSE)</f>
        <v>Do you work: The same number of hours every day? 39</v>
      </c>
      <c r="F40" t="str">
        <f t="shared" si="0"/>
        <v>Do you work: The same number of hours every day?</v>
      </c>
    </row>
    <row r="41" spans="1:6" x14ac:dyDescent="0.3">
      <c r="A41" t="s">
        <v>1121</v>
      </c>
      <c r="B41" t="s">
        <v>1222</v>
      </c>
      <c r="C41" t="s">
        <v>986</v>
      </c>
      <c r="D41" t="s">
        <v>1223</v>
      </c>
      <c r="E41" t="str">
        <f>VLOOKUP(B41,data3,2,FALSE)</f>
        <v>Do you work: The same number of days every week? 40</v>
      </c>
      <c r="F41" t="str">
        <f t="shared" si="0"/>
        <v>Do you work: The same number of days every week?</v>
      </c>
    </row>
    <row r="42" spans="1:6" x14ac:dyDescent="0.3">
      <c r="A42" t="s">
        <v>1121</v>
      </c>
      <c r="B42" t="s">
        <v>1225</v>
      </c>
      <c r="C42" t="s">
        <v>988</v>
      </c>
      <c r="D42" t="s">
        <v>1226</v>
      </c>
      <c r="E42" t="str">
        <f>VLOOKUP(B42,data3,2,FALSE)</f>
        <v>Do you work: Fixed starting and finishing times? 41</v>
      </c>
      <c r="F42" t="str">
        <f t="shared" si="0"/>
        <v>Do you work: Fixed starting and finishing times?</v>
      </c>
    </row>
    <row r="43" spans="1:6" x14ac:dyDescent="0.3">
      <c r="A43" t="s">
        <v>1121</v>
      </c>
      <c r="B43" t="s">
        <v>1227</v>
      </c>
      <c r="C43" t="s">
        <v>1228</v>
      </c>
      <c r="D43" t="s">
        <v>1229</v>
      </c>
      <c r="E43" t="str">
        <f>VLOOKUP(B43,data3,2,FALSE)</f>
        <v>Do you work: In the daytime? 42</v>
      </c>
      <c r="F43" t="str">
        <f t="shared" si="0"/>
        <v>Do you work: In the daytime?</v>
      </c>
    </row>
    <row r="44" spans="1:6" x14ac:dyDescent="0.3">
      <c r="A44" t="s">
        <v>1121</v>
      </c>
      <c r="B44" t="s">
        <v>1230</v>
      </c>
      <c r="C44" t="s">
        <v>989</v>
      </c>
      <c r="D44" t="s">
        <v>1231</v>
      </c>
      <c r="E44" t="str">
        <f>VLOOKUP(B44,data3,2,FALSE)</f>
        <v>Do you work shifts? 43</v>
      </c>
      <c r="F44" t="str">
        <f t="shared" si="0"/>
        <v>Do you work shifts?</v>
      </c>
    </row>
    <row r="45" spans="1:6" x14ac:dyDescent="0.3">
      <c r="A45" t="s">
        <v>1121</v>
      </c>
      <c r="B45" t="s">
        <v>1232</v>
      </c>
      <c r="C45" t="s">
        <v>1233</v>
      </c>
      <c r="D45" t="s">
        <v>1234</v>
      </c>
      <c r="E45" t="str">
        <f>VLOOKUP(B45,data3,2,FALSE)</f>
        <v>Do you work: Split shifts, Permanent night/afternoon/morning, Alternating shifts, or Other? 44</v>
      </c>
      <c r="F45" t="str">
        <f t="shared" si="0"/>
        <v>Do you work: Split shifts, Permanent night/afternoon/morning, Alternating shifts, or Other?</v>
      </c>
    </row>
    <row r="46" spans="1:6" x14ac:dyDescent="0.3">
      <c r="A46" t="s">
        <v>1121</v>
      </c>
      <c r="B46" t="s">
        <v>1235</v>
      </c>
      <c r="C46" t="s">
        <v>1236</v>
      </c>
      <c r="D46" t="s">
        <v>1237</v>
      </c>
      <c r="E46" t="str">
        <f>VLOOKUP(B46,data3,2,FALSE)</f>
        <v>Usually, how many times a month do your scheduled working times change? 45</v>
      </c>
      <c r="F46" t="str">
        <f t="shared" si="0"/>
        <v>Usually, how many times a month do your scheduled working times change?</v>
      </c>
    </row>
    <row r="47" spans="1:6" x14ac:dyDescent="0.3">
      <c r="A47" t="s">
        <v>1121</v>
      </c>
      <c r="B47" t="s">
        <v>1238</v>
      </c>
      <c r="C47" t="s">
        <v>1239</v>
      </c>
      <c r="D47" t="s">
        <v>1240</v>
      </c>
      <c r="E47" t="str">
        <f>VLOOKUP(B47,data3,2,FALSE)</f>
        <v>Usually, how many days in advance do you know of a change? 46</v>
      </c>
      <c r="F47" t="str">
        <f t="shared" si="0"/>
        <v>Usually, how many days in advance do you know of a change?</v>
      </c>
    </row>
    <row r="48" spans="1:6" x14ac:dyDescent="0.3">
      <c r="A48" t="s">
        <v>1121</v>
      </c>
      <c r="B48" t="s">
        <v>1241</v>
      </c>
      <c r="C48" t="s">
        <v>1242</v>
      </c>
      <c r="D48" t="s">
        <v>1243</v>
      </c>
      <c r="E48" t="str">
        <f>VLOOKUP(B48,data3,2,FALSE)</f>
        <v>In general, do your working hours fit in with your family or social commitments outside work very well, fairly well, not very well or not at all well? 47</v>
      </c>
      <c r="F48" t="str">
        <f t="shared" si="0"/>
        <v>In general, do your working hours fit in with your family or social commitments outside work very well, fairly well, not very well or not at all well?</v>
      </c>
    </row>
    <row r="49" spans="1:6" x14ac:dyDescent="0.3">
      <c r="A49" t="s">
        <v>1121</v>
      </c>
      <c r="B49" t="s">
        <v>1244</v>
      </c>
      <c r="C49" t="s">
        <v>1245</v>
      </c>
      <c r="D49" t="s">
        <v>1246</v>
      </c>
      <c r="E49" t="str">
        <f>VLOOKUP(B49,data3,2,FALSE)</f>
        <v>Please tell me, does your job involve short repetitive tasks of less than: 5 seconds / 30 seconds / 1 minute / 5 minutes / 10 minutes? 48</v>
      </c>
      <c r="F49" t="str">
        <f t="shared" si="0"/>
        <v>Please tell me, does your job involve short repetitive tasks of less than: 5 seconds / 30 seconds / 1 minute / 5 minutes / 10 minutes?</v>
      </c>
    </row>
    <row r="50" spans="1:6" x14ac:dyDescent="0.3">
      <c r="A50" t="s">
        <v>1121</v>
      </c>
      <c r="B50" t="s">
        <v>1247</v>
      </c>
      <c r="C50" t="s">
        <v>995</v>
      </c>
      <c r="D50" t="s">
        <v>1248</v>
      </c>
      <c r="E50" t="str">
        <f>VLOOKUP(B50,data3,2,FALSE)</f>
        <v>Does your job involve: Working at very high speed? 49</v>
      </c>
      <c r="F50" t="str">
        <f t="shared" si="0"/>
        <v>Does your job involve: Working at very high speed?</v>
      </c>
    </row>
    <row r="51" spans="1:6" x14ac:dyDescent="0.3">
      <c r="A51" t="s">
        <v>1121</v>
      </c>
      <c r="B51" t="s">
        <v>1250</v>
      </c>
      <c r="C51" t="s">
        <v>996</v>
      </c>
      <c r="D51" t="s">
        <v>1251</v>
      </c>
      <c r="E51" t="str">
        <f>VLOOKUP(B51,data3,2,FALSE)</f>
        <v>Does your job involve: Working to tight deadlines? 50</v>
      </c>
      <c r="F51" t="str">
        <f t="shared" si="0"/>
        <v>Does your job involve: Working to tight deadlines?</v>
      </c>
    </row>
    <row r="52" spans="1:6" x14ac:dyDescent="0.3">
      <c r="A52" t="s">
        <v>1121</v>
      </c>
      <c r="B52" t="s">
        <v>1253</v>
      </c>
      <c r="C52" t="s">
        <v>997</v>
      </c>
      <c r="D52" t="s">
        <v>1254</v>
      </c>
      <c r="E52" t="str">
        <f>VLOOKUP(B52,data3,2,FALSE)</f>
        <v>Is your pace of work dependent, or not, on: The work done by colleagues? 51</v>
      </c>
      <c r="F52" t="str">
        <f t="shared" si="0"/>
        <v>Is your pace of work dependent, or not, on: The work done by colleagues?</v>
      </c>
    </row>
    <row r="53" spans="1:6" x14ac:dyDescent="0.3">
      <c r="A53" t="s">
        <v>1121</v>
      </c>
      <c r="B53" t="s">
        <v>1255</v>
      </c>
      <c r="C53" t="s">
        <v>1256</v>
      </c>
      <c r="D53" t="s">
        <v>1257</v>
      </c>
      <c r="E53" t="str">
        <f>VLOOKUP(B53,data3,2,FALSE)</f>
        <v>Is your pace of work dependent, or not, on: Direct demands from people such as customers, passengers, pupils, patients, etc.? 52</v>
      </c>
      <c r="F53" t="str">
        <f t="shared" si="0"/>
        <v>Is your pace of work dependent, or not, on: Direct demands from people such as customers, passengers, pupils, patients, etc.?</v>
      </c>
    </row>
    <row r="54" spans="1:6" x14ac:dyDescent="0.3">
      <c r="A54" t="s">
        <v>1121</v>
      </c>
      <c r="B54" t="s">
        <v>1258</v>
      </c>
      <c r="C54" t="s">
        <v>1259</v>
      </c>
      <c r="D54" t="s">
        <v>1260</v>
      </c>
      <c r="E54" t="str">
        <f>VLOOKUP(B54,data3,2,FALSE)</f>
        <v>Is your pace of work dependent, or not, on: Numerical production targets? 53</v>
      </c>
      <c r="F54" t="str">
        <f t="shared" si="0"/>
        <v>Is your pace of work dependent, or not, on: Numerical production targets?</v>
      </c>
    </row>
    <row r="55" spans="1:6" x14ac:dyDescent="0.3">
      <c r="A55" t="s">
        <v>1121</v>
      </c>
      <c r="B55" t="s">
        <v>1261</v>
      </c>
      <c r="C55" t="s">
        <v>1262</v>
      </c>
      <c r="D55" t="s">
        <v>1263</v>
      </c>
      <c r="E55" t="str">
        <f>VLOOKUP(B55,data3,2,FALSE)</f>
        <v>Is your pace of work dependent, or not, on: Automatic speed of a machine or movement of a product? 54</v>
      </c>
      <c r="F55" t="str">
        <f t="shared" si="0"/>
        <v>Is your pace of work dependent, or not, on: Automatic speed of a machine or movement of a product?</v>
      </c>
    </row>
    <row r="56" spans="1:6" x14ac:dyDescent="0.3">
      <c r="A56" t="s">
        <v>1121</v>
      </c>
      <c r="B56" t="s">
        <v>1264</v>
      </c>
      <c r="C56" t="s">
        <v>1265</v>
      </c>
      <c r="D56" t="s">
        <v>1266</v>
      </c>
      <c r="E56" t="str">
        <f>VLOOKUP(B56,data3,2,FALSE)</f>
        <v>Is your pace of work dependent, or not, on: The direct control of your boss? 55</v>
      </c>
      <c r="F56" t="str">
        <f t="shared" si="0"/>
        <v>Is your pace of work dependent, or not, on: The direct control of your boss?</v>
      </c>
    </row>
    <row r="57" spans="1:6" x14ac:dyDescent="0.3">
      <c r="A57" t="s">
        <v>1121</v>
      </c>
      <c r="B57" t="s">
        <v>1267</v>
      </c>
      <c r="C57" t="s">
        <v>1268</v>
      </c>
      <c r="D57" t="s">
        <v>1269</v>
      </c>
      <c r="E57" t="str">
        <f>VLOOKUP(B57,data3,2,FALSE)</f>
        <v>How often do you have to interrupt a task you are doing in order to take on an unforeseen task? 56</v>
      </c>
      <c r="F57" t="str">
        <f t="shared" si="0"/>
        <v>How often do you have to interrupt a task you are doing in order to take on an unforeseen task?</v>
      </c>
    </row>
    <row r="58" spans="1:6" x14ac:dyDescent="0.3">
      <c r="A58" t="s">
        <v>1121</v>
      </c>
      <c r="B58" t="s">
        <v>1270</v>
      </c>
      <c r="C58" t="s">
        <v>1271</v>
      </c>
      <c r="D58" t="s">
        <v>1272</v>
      </c>
      <c r="E58" t="str">
        <f>VLOOKUP(B58,data3,2,FALSE)</f>
        <v>Are these interruptions mainly due to: Nature of work, bad organisation, requests from colleagues/superiors/external, machines, bad design, etc.? 57</v>
      </c>
      <c r="F58" t="str">
        <f t="shared" si="0"/>
        <v>Are these interruptions mainly due to: Nature of work, bad organisation, requests from colleagues/superiors/external, machines, bad design, etc.?</v>
      </c>
    </row>
    <row r="59" spans="1:6" x14ac:dyDescent="0.3">
      <c r="A59" t="s">
        <v>1121</v>
      </c>
      <c r="B59" t="s">
        <v>1273</v>
      </c>
      <c r="C59" t="s">
        <v>1274</v>
      </c>
      <c r="D59" t="s">
        <v>1275</v>
      </c>
      <c r="E59" t="str">
        <f>VLOOKUP(B59,data3,2,FALSE)</f>
        <v>For your work, are these interruptions: disruptive, without consequences, positive? 58</v>
      </c>
      <c r="F59" t="str">
        <f t="shared" si="0"/>
        <v>For your work, are these interruptions: disruptive, without consequences, positive?</v>
      </c>
    </row>
    <row r="60" spans="1:6" x14ac:dyDescent="0.3">
      <c r="A60" t="s">
        <v>1121</v>
      </c>
      <c r="B60" t="s">
        <v>1276</v>
      </c>
      <c r="C60" t="s">
        <v>1002</v>
      </c>
      <c r="D60" t="s">
        <v>1277</v>
      </c>
      <c r="E60" t="str">
        <f>VLOOKUP(B60,data3,2,FALSE)</f>
        <v>Generally, does your main paid job involve: Meeting precise quality standards? 59</v>
      </c>
      <c r="F60" t="str">
        <f t="shared" si="0"/>
        <v>Generally, does your main paid job involve: Meeting precise quality standards?</v>
      </c>
    </row>
    <row r="61" spans="1:6" x14ac:dyDescent="0.3">
      <c r="A61" t="s">
        <v>1121</v>
      </c>
      <c r="B61" t="s">
        <v>1278</v>
      </c>
      <c r="C61" t="s">
        <v>1003</v>
      </c>
      <c r="D61" t="s">
        <v>1279</v>
      </c>
      <c r="E61" t="str">
        <f>VLOOKUP(B61,data3,2,FALSE)</f>
        <v>Generally, does your main paid job involve: Assessing yourself the quality of your own work? 60</v>
      </c>
      <c r="F61" t="str">
        <f t="shared" si="0"/>
        <v>Generally, does your main paid job involve: Assessing yourself the quality of your own work?</v>
      </c>
    </row>
    <row r="62" spans="1:6" x14ac:dyDescent="0.3">
      <c r="A62" t="s">
        <v>1121</v>
      </c>
      <c r="B62" t="s">
        <v>1280</v>
      </c>
      <c r="C62" t="s">
        <v>1281</v>
      </c>
      <c r="D62" t="s">
        <v>1282</v>
      </c>
      <c r="E62" t="str">
        <f>VLOOKUP(B62,data3,2,FALSE)</f>
        <v>Generally, does your main paid job involve: Solving unforeseen problems on your own? 61</v>
      </c>
      <c r="F62" t="str">
        <f t="shared" si="0"/>
        <v>Generally, does your main paid job involve: Solving unforeseen problems on your own?</v>
      </c>
    </row>
    <row r="63" spans="1:6" x14ac:dyDescent="0.3">
      <c r="A63" t="s">
        <v>1121</v>
      </c>
      <c r="B63" t="s">
        <v>1283</v>
      </c>
      <c r="C63" t="s">
        <v>1005</v>
      </c>
      <c r="D63" t="s">
        <v>1284</v>
      </c>
      <c r="E63" t="str">
        <f>VLOOKUP(B63,data3,2,FALSE)</f>
        <v>Generally, does your main paid job involve: Monotonous tasks? 62</v>
      </c>
      <c r="F63" t="str">
        <f t="shared" si="0"/>
        <v>Generally, does your main paid job involve: Monotonous tasks?</v>
      </c>
    </row>
    <row r="64" spans="1:6" x14ac:dyDescent="0.3">
      <c r="A64" t="s">
        <v>1121</v>
      </c>
      <c r="B64" t="s">
        <v>1285</v>
      </c>
      <c r="C64" t="s">
        <v>1006</v>
      </c>
      <c r="D64" t="s">
        <v>1286</v>
      </c>
      <c r="E64" t="str">
        <f>VLOOKUP(B64,data3,2,FALSE)</f>
        <v>Generally, does your main paid job involve: Complex tasks? 63</v>
      </c>
      <c r="F64" t="str">
        <f t="shared" si="0"/>
        <v>Generally, does your main paid job involve: Complex tasks?</v>
      </c>
    </row>
    <row r="65" spans="1:6" x14ac:dyDescent="0.3">
      <c r="A65" t="s">
        <v>1121</v>
      </c>
      <c r="B65" t="s">
        <v>1287</v>
      </c>
      <c r="C65" t="s">
        <v>1007</v>
      </c>
      <c r="D65" t="s">
        <v>1288</v>
      </c>
      <c r="E65" t="str">
        <f>VLOOKUP(B65,data3,2,FALSE)</f>
        <v>Generally, does your main paid job involve: Learning new things? 64</v>
      </c>
      <c r="F65" t="str">
        <f t="shared" si="0"/>
        <v>Generally, does your main paid job involve: Learning new things?</v>
      </c>
    </row>
    <row r="66" spans="1:6" x14ac:dyDescent="0.3">
      <c r="A66" t="s">
        <v>1121</v>
      </c>
      <c r="B66" t="s">
        <v>1289</v>
      </c>
      <c r="C66" t="s">
        <v>1290</v>
      </c>
      <c r="D66" t="s">
        <v>1291</v>
      </c>
      <c r="E66" t="str">
        <f>VLOOKUP(B66,data3,2,FALSE)</f>
        <v>Are you able, or not, to choose or change: Your order of tasks / Your methods of work / Your speed or rate of work? 65</v>
      </c>
      <c r="F66" t="str">
        <f t="shared" si="0"/>
        <v>Are you able, or not, to choose or change: Your order of tasks / Your methods of work / Your speed or rate of work?</v>
      </c>
    </row>
    <row r="67" spans="1:6" x14ac:dyDescent="0.3">
      <c r="A67" t="s">
        <v>1121</v>
      </c>
      <c r="B67" t="s">
        <v>1292</v>
      </c>
      <c r="C67" t="s">
        <v>1293</v>
      </c>
      <c r="D67" t="s">
        <v>1294</v>
      </c>
      <c r="E67" t="str">
        <f>VLOOKUP(B67,data3,2,FALSE)</f>
        <v>For each of the following statements, please answer yes or no: You can get assistance from colleagues if you ask for it? 66</v>
      </c>
      <c r="F67" t="str">
        <f t="shared" ref="F67:F89" si="1">LEFT(E67, FIND("@", SUBSTITUTE(E67, " ", "@", LEN(E67)-LEN(SUBSTITUTE(E67," ",""))))-1)</f>
        <v>For each of the following statements, please answer yes or no: You can get assistance from colleagues if you ask for it?</v>
      </c>
    </row>
    <row r="68" spans="1:6" x14ac:dyDescent="0.3">
      <c r="A68" t="s">
        <v>1121</v>
      </c>
      <c r="B68" t="s">
        <v>1295</v>
      </c>
      <c r="C68" t="s">
        <v>1296</v>
      </c>
      <c r="D68" t="s">
        <v>1297</v>
      </c>
      <c r="E68" t="str">
        <f>VLOOKUP(B68,data3,2,FALSE)</f>
        <v>For each of the following statements, please answer yes or no: You can take your break when you wish? 67</v>
      </c>
      <c r="F68" t="str">
        <f t="shared" si="1"/>
        <v>For each of the following statements, please answer yes or no: You can take your break when you wish?</v>
      </c>
    </row>
    <row r="69" spans="1:6" x14ac:dyDescent="0.3">
      <c r="A69" t="s">
        <v>1121</v>
      </c>
      <c r="B69" t="s">
        <v>1298</v>
      </c>
      <c r="C69" t="s">
        <v>1299</v>
      </c>
      <c r="D69" t="s">
        <v>1300</v>
      </c>
      <c r="E69" t="str">
        <f>VLOOKUP(B69,data3,2,FALSE)</f>
        <v>For each of the following statements, please answer yes or no: You are free to decide when to take holidays or days off? 68</v>
      </c>
      <c r="F69" t="str">
        <f t="shared" si="1"/>
        <v>For each of the following statements, please answer yes or no: You are free to decide when to take holidays or days off?</v>
      </c>
    </row>
    <row r="70" spans="1:6" x14ac:dyDescent="0.3">
      <c r="A70" t="s">
        <v>1121</v>
      </c>
      <c r="B70" t="s">
        <v>1301</v>
      </c>
      <c r="C70" t="s">
        <v>1302</v>
      </c>
      <c r="D70" t="s">
        <v>1303</v>
      </c>
      <c r="E70" t="str">
        <f>VLOOKUP(B70,data3,2,FALSE)</f>
        <v>For each of the following statements, please answer yes or no: You can influence your working hours? 69</v>
      </c>
      <c r="F70" t="str">
        <f t="shared" si="1"/>
        <v>For each of the following statements, please answer yes or no: You can influence your working hours?</v>
      </c>
    </row>
    <row r="71" spans="1:6" x14ac:dyDescent="0.3">
      <c r="A71" t="s">
        <v>1121</v>
      </c>
      <c r="B71" t="s">
        <v>1304</v>
      </c>
      <c r="C71" t="s">
        <v>1305</v>
      </c>
      <c r="D71" t="s">
        <v>1306</v>
      </c>
      <c r="E71" t="str">
        <f>VLOOKUP(B71,data3,2,FALSE)</f>
        <v>For each of the following statements, please answer yes or no: You have enough time to get the job done? 70</v>
      </c>
      <c r="F71" t="str">
        <f t="shared" si="1"/>
        <v>For each of the following statements, please answer yes or no: You have enough time to get the job done?</v>
      </c>
    </row>
    <row r="72" spans="1:6" x14ac:dyDescent="0.3">
      <c r="A72" t="s">
        <v>1121</v>
      </c>
      <c r="B72" t="s">
        <v>1307</v>
      </c>
      <c r="C72" t="s">
        <v>1018</v>
      </c>
      <c r="D72" t="s">
        <v>1308</v>
      </c>
      <c r="E72" t="str">
        <f>VLOOKUP(B72,data3,2,FALSE)</f>
        <v>For each of the following statements, please answer yes or no: You have access to a telephone for private calls? 71</v>
      </c>
      <c r="F72" t="str">
        <f t="shared" si="1"/>
        <v>For each of the following statements, please answer yes or no: You have access to a telephone for private calls?</v>
      </c>
    </row>
    <row r="73" spans="1:6" x14ac:dyDescent="0.3">
      <c r="A73" t="s">
        <v>1121</v>
      </c>
      <c r="B73" t="s">
        <v>1309</v>
      </c>
      <c r="C73" t="s">
        <v>1310</v>
      </c>
      <c r="D73" t="s">
        <v>1311</v>
      </c>
      <c r="E73" t="str">
        <f>VLOOKUP(B73,data3,2,FALSE)</f>
        <v>In your job, do you have responsibility or not for: Production planning / Staffing / Working times and shifts? 72</v>
      </c>
      <c r="F73" t="str">
        <f t="shared" si="1"/>
        <v>In your job, do you have responsibility or not for: Production planning / Staffing / Working times and shifts?</v>
      </c>
    </row>
    <row r="74" spans="1:6" x14ac:dyDescent="0.3">
      <c r="A74" t="s">
        <v>1121</v>
      </c>
      <c r="B74" t="s">
        <v>1312</v>
      </c>
      <c r="C74" t="s">
        <v>1313</v>
      </c>
      <c r="D74" t="s">
        <v>1314</v>
      </c>
      <c r="E74" t="str">
        <f>VLOOKUP(B74,data3,2,FALSE)</f>
        <v>Does your job involve, or not: Rotating tasks between yourself and colleagues / Doing all or part of your work in a team? 73</v>
      </c>
      <c r="F74" t="str">
        <f t="shared" si="1"/>
        <v>Does your job involve, or not: Rotating tasks between yourself and colleagues / Doing all or part of your work in a team?</v>
      </c>
    </row>
    <row r="75" spans="1:6" x14ac:dyDescent="0.3">
      <c r="A75" t="s">
        <v>1121</v>
      </c>
      <c r="B75" t="s">
        <v>1315</v>
      </c>
      <c r="C75" t="s">
        <v>1316</v>
      </c>
      <c r="D75" t="s">
        <v>1317</v>
      </c>
      <c r="E75" t="str">
        <f>VLOOKUP(B75,data3,2,FALSE)</f>
        <v>How well do you think your skills match the demands imposed on you by your job? 74</v>
      </c>
      <c r="F75" t="str">
        <f t="shared" si="1"/>
        <v>How well do you think your skills match the demands imposed on you by your job?</v>
      </c>
    </row>
    <row r="76" spans="1:6" x14ac:dyDescent="0.3">
      <c r="A76" t="s">
        <v>1121</v>
      </c>
      <c r="B76" t="s">
        <v>1318</v>
      </c>
      <c r="C76" t="s">
        <v>1319</v>
      </c>
      <c r="D76" t="s">
        <v>1320</v>
      </c>
      <c r="E76" t="str">
        <f>VLOOKUP(B76,data3,2,FALSE)</f>
        <v>Over the past 12 months, have you undergone training paid for or provided by your employer... to improve your skills or not? 75</v>
      </c>
      <c r="F76" t="str">
        <f t="shared" si="1"/>
        <v>Over the past 12 months, have you undergone training paid for or provided by your employer... to improve your skills or not?</v>
      </c>
    </row>
    <row r="77" spans="1:6" x14ac:dyDescent="0.3">
      <c r="A77" t="s">
        <v>1121</v>
      </c>
      <c r="B77" t="s">
        <v>1321</v>
      </c>
      <c r="C77" t="s">
        <v>1024</v>
      </c>
      <c r="D77" t="s">
        <v>1322</v>
      </c>
      <c r="E77" t="str">
        <f>VLOOKUP(B77,data3,2,FALSE)</f>
        <v>Within your workplace, are you able to discuss: Your working conditions in general / the organisation of your work when changes take place? 76</v>
      </c>
      <c r="F77" t="str">
        <f t="shared" si="1"/>
        <v>Within your workplace, are you able to discuss: Your working conditions in general / the organisation of your work when changes take place?</v>
      </c>
    </row>
    <row r="78" spans="1:6" x14ac:dyDescent="0.3">
      <c r="A78" t="s">
        <v>1121</v>
      </c>
      <c r="B78" t="s">
        <v>1323</v>
      </c>
      <c r="C78" t="s">
        <v>1324</v>
      </c>
      <c r="D78" t="s">
        <v>1325</v>
      </c>
      <c r="E78" t="str">
        <f>VLOOKUP(B78,data3,2,FALSE)</f>
        <v>Do these exchanges of views take place: With colleagues, superiors, staff representatives, outside experts, on a regular basis, on a formal basis? 77</v>
      </c>
      <c r="F78" t="str">
        <f t="shared" si="1"/>
        <v>Do these exchanges of views take place: With colleagues, superiors, staff representatives, outside experts, on a regular basis, on a formal basis?</v>
      </c>
    </row>
    <row r="79" spans="1:6" x14ac:dyDescent="0.3">
      <c r="A79" t="s">
        <v>1121</v>
      </c>
      <c r="B79" t="s">
        <v>1326</v>
      </c>
      <c r="C79" t="s">
        <v>1327</v>
      </c>
      <c r="D79" t="s">
        <v>1328</v>
      </c>
      <c r="E79" t="str">
        <f>VLOOKUP(B79,data3,2,FALSE)</f>
        <v>And, do these exchanges of views lead to improvements: At your own personal workplace / In your office or factory / In the organisation as a whole? 78</v>
      </c>
      <c r="F79" t="str">
        <f t="shared" si="1"/>
        <v>And, do these exchanges of views lead to improvements: At your own personal workplace / In your office or factory / In the organisation as a whole?</v>
      </c>
    </row>
    <row r="80" spans="1:6" x14ac:dyDescent="0.3">
      <c r="A80" t="s">
        <v>1121</v>
      </c>
      <c r="B80" t="s">
        <v>1329</v>
      </c>
      <c r="C80" t="s">
        <v>1330</v>
      </c>
      <c r="D80" t="s">
        <v>1331</v>
      </c>
      <c r="E80" t="str">
        <f>VLOOKUP(B80,data3,2,FALSE)</f>
        <v>Over the past 12 months, have you, or have you not, been subjected at work to: Physical violence, Intimidation, Sexual discrimination, Unwanted sexual attention, Age discrimination, Discrimination linked to nationality/ethnicity/disability/sexual orientation? 79</v>
      </c>
      <c r="F80" t="str">
        <f t="shared" si="1"/>
        <v>Over the past 12 months, have you, or have you not, been subjected at work to: Physical violence, Intimidation, Sexual discrimination, Unwanted sexual attention, Age discrimination, Discrimination linked to nationality/ethnicity/disability/sexual orientation?</v>
      </c>
    </row>
    <row r="81" spans="1:6" x14ac:dyDescent="0.3">
      <c r="A81" t="s">
        <v>1121</v>
      </c>
      <c r="B81" t="s">
        <v>1332</v>
      </c>
      <c r="C81" t="s">
        <v>1333</v>
      </c>
      <c r="D81" t="s">
        <v>1334</v>
      </c>
      <c r="E81" t="str">
        <f>VLOOKUP(B81,data3,2,FALSE)</f>
        <v>In the establishment where you work, are you aware of the existence of: Physical violence, Intimidation, Discrimination (various types)? 80</v>
      </c>
      <c r="F81" t="str">
        <f t="shared" si="1"/>
        <v>In the establishment where you work, are you aware of the existence of: Physical violence, Intimidation, Discrimination (various types)?</v>
      </c>
    </row>
    <row r="82" spans="1:6" x14ac:dyDescent="0.3">
      <c r="A82" t="s">
        <v>1121</v>
      </c>
      <c r="B82" t="s">
        <v>1335</v>
      </c>
      <c r="C82" t="s">
        <v>1071</v>
      </c>
      <c r="D82" t="s">
        <v>1336</v>
      </c>
      <c r="E82" t="str">
        <f>VLOOKUP(B82,data3,2,FALSE)</f>
        <v>Is your immediate boss a man or a woman? 81</v>
      </c>
      <c r="F82" t="str">
        <f t="shared" si="1"/>
        <v>Is your immediate boss a man or a woman?</v>
      </c>
    </row>
    <row r="83" spans="1:6" x14ac:dyDescent="0.3">
      <c r="A83" t="s">
        <v>1121</v>
      </c>
      <c r="B83" t="s">
        <v>1337</v>
      </c>
      <c r="C83" t="s">
        <v>1338</v>
      </c>
      <c r="D83" t="s">
        <v>1339</v>
      </c>
      <c r="E83" t="str">
        <f>VLOOKUP(B83,data3,2,FALSE)</f>
        <v>Do you think your health or safety is at risk because of your work, or not? 82</v>
      </c>
      <c r="F83" t="str">
        <f t="shared" si="1"/>
        <v>Do you think your health or safety is at risk because of your work, or not?</v>
      </c>
    </row>
    <row r="84" spans="1:6" x14ac:dyDescent="0.3">
      <c r="A84" t="s">
        <v>1121</v>
      </c>
      <c r="B84" t="s">
        <v>1340</v>
      </c>
      <c r="C84" t="s">
        <v>1341</v>
      </c>
      <c r="D84" t="s">
        <v>1342</v>
      </c>
      <c r="E84" t="str">
        <f>VLOOKUP(B84,data3,2,FALSE)</f>
        <v>Does your work affect your health, or not? (IF YES) How does it affect your health? (Hearing, vision, skin, backache, headaches, stomach, muscular pains, stress, fatigue, etc.) 83</v>
      </c>
      <c r="F84" t="str">
        <f t="shared" si="1"/>
        <v>Does your work affect your health, or not? (IF YES) How does it affect your health? (Hearing, vision, skin, backache, headaches, stomach, muscular pains, stress, fatigue, etc.)</v>
      </c>
    </row>
    <row r="85" spans="1:6" x14ac:dyDescent="0.3">
      <c r="A85" t="s">
        <v>1121</v>
      </c>
      <c r="B85" t="s">
        <v>1343</v>
      </c>
      <c r="C85" t="s">
        <v>1344</v>
      </c>
      <c r="D85" t="s">
        <v>1345</v>
      </c>
      <c r="E85" t="str">
        <f>VLOOKUP(B85,data3,2,FALSE)</f>
        <v>In your main paid job, how many days over the past 12 months were you absent due to an accident at work? 84</v>
      </c>
      <c r="F85" t="str">
        <f t="shared" si="1"/>
        <v>In your main paid job, how many days over the past 12 months were you absent due to an accident at work?</v>
      </c>
    </row>
    <row r="86" spans="1:6" x14ac:dyDescent="0.3">
      <c r="A86" t="s">
        <v>1121</v>
      </c>
      <c r="B86" t="s">
        <v>1346</v>
      </c>
      <c r="C86" t="s">
        <v>1347</v>
      </c>
      <c r="D86" t="s">
        <v>1348</v>
      </c>
      <c r="E86" t="str">
        <f>VLOOKUP(B86,data3,2,FALSE)</f>
        <v>And due to health problems caused by your work? 85</v>
      </c>
      <c r="F86" t="str">
        <f t="shared" si="1"/>
        <v>And due to health problems caused by your work?</v>
      </c>
    </row>
    <row r="87" spans="1:6" x14ac:dyDescent="0.3">
      <c r="A87" t="s">
        <v>1121</v>
      </c>
      <c r="B87" t="s">
        <v>1349</v>
      </c>
      <c r="C87" t="s">
        <v>1350</v>
      </c>
      <c r="D87" t="s">
        <v>1351</v>
      </c>
      <c r="E87" t="str">
        <f>VLOOKUP(B87,data3,2,FALSE)</f>
        <v>And due to other health problems? 86</v>
      </c>
      <c r="F87" t="str">
        <f t="shared" si="1"/>
        <v>And due to other health problems?</v>
      </c>
    </row>
    <row r="88" spans="1:6" x14ac:dyDescent="0.3">
      <c r="A88" t="s">
        <v>1121</v>
      </c>
      <c r="B88" t="s">
        <v>1352</v>
      </c>
      <c r="C88" t="s">
        <v>1353</v>
      </c>
      <c r="D88" t="s">
        <v>1354</v>
      </c>
      <c r="E88" t="str">
        <f>VLOOKUP(B88,data3,2,FALSE)</f>
        <v>Do you think you will be able to do the same job you are doing now when you are 60 years old? 88</v>
      </c>
      <c r="F88" t="str">
        <f t="shared" si="1"/>
        <v>Do you think you will be able to do the same job you are doing now when you are 60 years old?</v>
      </c>
    </row>
    <row r="89" spans="1:6" x14ac:dyDescent="0.3">
      <c r="A89" t="s">
        <v>1121</v>
      </c>
      <c r="B89" t="s">
        <v>1355</v>
      </c>
      <c r="C89" t="s">
        <v>1356</v>
      </c>
      <c r="D89" t="s">
        <v>1357</v>
      </c>
      <c r="E89" t="str">
        <f>VLOOKUP(B89,data3,2,FALSE)</f>
        <v>On the whole, are you very satisfied, fairly satisfied, not very satisfied or not at all satisfied with working conditions in your main paid job? 89</v>
      </c>
      <c r="F89" t="str">
        <f t="shared" si="1"/>
        <v>On the whole, are you very satisfied, fairly satisfied, not very satisfied or not at all satisfied with working conditions in your main paid job?</v>
      </c>
    </row>
    <row r="94" spans="1:6" ht="28.8" x14ac:dyDescent="0.3">
      <c r="A94" s="4" t="s">
        <v>1116</v>
      </c>
      <c r="B94" s="4" t="s">
        <v>1117</v>
      </c>
      <c r="C94" s="4" t="s">
        <v>1469</v>
      </c>
      <c r="D94" s="4" t="s">
        <v>1118</v>
      </c>
      <c r="E94" s="4" t="s">
        <v>1470</v>
      </c>
    </row>
    <row r="95" spans="1:6" x14ac:dyDescent="0.3">
      <c r="A95" t="s">
        <v>1121</v>
      </c>
      <c r="B95" t="s">
        <v>1122</v>
      </c>
      <c r="D95" t="s">
        <v>1123</v>
      </c>
      <c r="E95" t="s">
        <v>1123</v>
      </c>
    </row>
    <row r="96" spans="1:6" x14ac:dyDescent="0.3">
      <c r="A96" t="s">
        <v>1121</v>
      </c>
      <c r="B96" t="s">
        <v>1124</v>
      </c>
      <c r="C96" t="s">
        <v>1125</v>
      </c>
      <c r="D96" t="s">
        <v>805</v>
      </c>
      <c r="E96" t="s">
        <v>805</v>
      </c>
    </row>
    <row r="97" spans="1:5" x14ac:dyDescent="0.3">
      <c r="A97" t="s">
        <v>1121</v>
      </c>
      <c r="B97" t="s">
        <v>1126</v>
      </c>
      <c r="C97" t="s">
        <v>1127</v>
      </c>
      <c r="D97" t="s">
        <v>814</v>
      </c>
      <c r="E97" t="s">
        <v>814</v>
      </c>
    </row>
    <row r="98" spans="1:5" x14ac:dyDescent="0.3">
      <c r="A98" t="s">
        <v>1121</v>
      </c>
      <c r="B98" t="s">
        <v>1129</v>
      </c>
      <c r="D98" t="s">
        <v>815</v>
      </c>
      <c r="E98" t="s">
        <v>815</v>
      </c>
    </row>
    <row r="99" spans="1:5" x14ac:dyDescent="0.3">
      <c r="A99" t="s">
        <v>1121</v>
      </c>
      <c r="B99" t="s">
        <v>1130</v>
      </c>
      <c r="C99" t="s">
        <v>5</v>
      </c>
      <c r="D99" t="s">
        <v>807</v>
      </c>
      <c r="E99" t="s">
        <v>942</v>
      </c>
    </row>
    <row r="100" spans="1:5" x14ac:dyDescent="0.3">
      <c r="A100" t="s">
        <v>1121</v>
      </c>
      <c r="B100" t="s">
        <v>1132</v>
      </c>
      <c r="C100" t="s">
        <v>8</v>
      </c>
      <c r="D100" t="s">
        <v>1474</v>
      </c>
      <c r="E100" t="s">
        <v>1133</v>
      </c>
    </row>
    <row r="101" spans="1:5" x14ac:dyDescent="0.3">
      <c r="A101" t="s">
        <v>1121</v>
      </c>
      <c r="B101" t="s">
        <v>1135</v>
      </c>
      <c r="C101" t="s">
        <v>1137</v>
      </c>
      <c r="D101" t="s">
        <v>1136</v>
      </c>
      <c r="E101" t="s">
        <v>1136</v>
      </c>
    </row>
    <row r="102" spans="1:5" x14ac:dyDescent="0.3">
      <c r="A102" t="s">
        <v>1121</v>
      </c>
      <c r="B102" t="s">
        <v>1138</v>
      </c>
      <c r="C102" t="s">
        <v>1139</v>
      </c>
      <c r="D102" t="s">
        <v>810</v>
      </c>
      <c r="E102" t="s">
        <v>810</v>
      </c>
    </row>
    <row r="103" spans="1:5" x14ac:dyDescent="0.3">
      <c r="A103" t="s">
        <v>1121</v>
      </c>
      <c r="B103" t="s">
        <v>1140</v>
      </c>
      <c r="C103" t="s">
        <v>15</v>
      </c>
      <c r="D103" t="s">
        <v>1475</v>
      </c>
      <c r="E103" t="s">
        <v>1141</v>
      </c>
    </row>
    <row r="104" spans="1:5" x14ac:dyDescent="0.3">
      <c r="A104" t="s">
        <v>1121</v>
      </c>
      <c r="B104" t="s">
        <v>1142</v>
      </c>
      <c r="C104" t="s">
        <v>1143</v>
      </c>
      <c r="D104" t="s">
        <v>812</v>
      </c>
      <c r="E104" t="s">
        <v>812</v>
      </c>
    </row>
    <row r="105" spans="1:5" x14ac:dyDescent="0.3">
      <c r="A105" t="s">
        <v>1121</v>
      </c>
      <c r="B105" t="s">
        <v>1144</v>
      </c>
      <c r="C105" t="s">
        <v>1146</v>
      </c>
      <c r="D105" t="s">
        <v>813</v>
      </c>
      <c r="E105" t="s">
        <v>1145</v>
      </c>
    </row>
    <row r="106" spans="1:5" x14ac:dyDescent="0.3">
      <c r="A106" t="s">
        <v>1121</v>
      </c>
      <c r="B106" t="s">
        <v>1147</v>
      </c>
      <c r="C106" t="s">
        <v>1149</v>
      </c>
      <c r="D106" t="s">
        <v>816</v>
      </c>
      <c r="E106" t="s">
        <v>1148</v>
      </c>
    </row>
    <row r="107" spans="1:5" x14ac:dyDescent="0.3">
      <c r="A107" t="s">
        <v>1121</v>
      </c>
      <c r="B107" t="s">
        <v>1150</v>
      </c>
      <c r="D107" t="s">
        <v>1151</v>
      </c>
      <c r="E107" t="s">
        <v>1151</v>
      </c>
    </row>
    <row r="108" spans="1:5" x14ac:dyDescent="0.3">
      <c r="A108" t="s">
        <v>1121</v>
      </c>
      <c r="B108" t="s">
        <v>1152</v>
      </c>
      <c r="C108" t="s">
        <v>1154</v>
      </c>
      <c r="D108" t="s">
        <v>819</v>
      </c>
      <c r="E108" t="s">
        <v>1153</v>
      </c>
    </row>
    <row r="109" spans="1:5" x14ac:dyDescent="0.3">
      <c r="A109" t="s">
        <v>1121</v>
      </c>
      <c r="B109" t="s">
        <v>1155</v>
      </c>
      <c r="C109" t="s">
        <v>1157</v>
      </c>
      <c r="D109" t="s">
        <v>820</v>
      </c>
      <c r="E109" t="s">
        <v>1156</v>
      </c>
    </row>
    <row r="110" spans="1:5" x14ac:dyDescent="0.3">
      <c r="A110" t="s">
        <v>1121</v>
      </c>
      <c r="B110" t="s">
        <v>1158</v>
      </c>
      <c r="C110" t="s">
        <v>1160</v>
      </c>
      <c r="D110" t="s">
        <v>821</v>
      </c>
      <c r="E110" t="s">
        <v>1159</v>
      </c>
    </row>
    <row r="111" spans="1:5" x14ac:dyDescent="0.3">
      <c r="A111" t="s">
        <v>1121</v>
      </c>
      <c r="B111" t="s">
        <v>1161</v>
      </c>
      <c r="C111" t="s">
        <v>1163</v>
      </c>
      <c r="D111" t="s">
        <v>822</v>
      </c>
      <c r="E111" t="s">
        <v>1162</v>
      </c>
    </row>
    <row r="112" spans="1:5" x14ac:dyDescent="0.3">
      <c r="A112" t="s">
        <v>1121</v>
      </c>
      <c r="B112" t="s">
        <v>1164</v>
      </c>
      <c r="C112" t="s">
        <v>1166</v>
      </c>
      <c r="D112" t="s">
        <v>1476</v>
      </c>
      <c r="E112" t="s">
        <v>1165</v>
      </c>
    </row>
    <row r="113" spans="1:5" x14ac:dyDescent="0.3">
      <c r="A113" t="s">
        <v>1121</v>
      </c>
      <c r="B113" t="s">
        <v>1167</v>
      </c>
      <c r="C113" t="s">
        <v>1169</v>
      </c>
      <c r="D113" t="s">
        <v>1477</v>
      </c>
      <c r="E113" t="s">
        <v>1168</v>
      </c>
    </row>
    <row r="114" spans="1:5" x14ac:dyDescent="0.3">
      <c r="A114" t="s">
        <v>1121</v>
      </c>
      <c r="B114" t="s">
        <v>1170</v>
      </c>
      <c r="C114" t="s">
        <v>1172</v>
      </c>
      <c r="D114" t="s">
        <v>826</v>
      </c>
      <c r="E114" t="s">
        <v>1171</v>
      </c>
    </row>
    <row r="115" spans="1:5" x14ac:dyDescent="0.3">
      <c r="A115" t="s">
        <v>1121</v>
      </c>
      <c r="B115" t="s">
        <v>1173</v>
      </c>
      <c r="C115" t="s">
        <v>1175</v>
      </c>
      <c r="D115" t="s">
        <v>1478</v>
      </c>
      <c r="E115" t="s">
        <v>1174</v>
      </c>
    </row>
    <row r="116" spans="1:5" x14ac:dyDescent="0.3">
      <c r="A116" t="s">
        <v>1121</v>
      </c>
      <c r="B116" t="s">
        <v>1176</v>
      </c>
      <c r="C116" t="s">
        <v>1177</v>
      </c>
      <c r="D116" t="s">
        <v>831</v>
      </c>
      <c r="E116" t="s">
        <v>966</v>
      </c>
    </row>
    <row r="117" spans="1:5" x14ac:dyDescent="0.3">
      <c r="A117" t="s">
        <v>1121</v>
      </c>
      <c r="B117" t="s">
        <v>1178</v>
      </c>
      <c r="C117" t="s">
        <v>1179</v>
      </c>
      <c r="D117" t="s">
        <v>833</v>
      </c>
      <c r="E117" t="s">
        <v>968</v>
      </c>
    </row>
    <row r="118" spans="1:5" x14ac:dyDescent="0.3">
      <c r="A118" t="s">
        <v>1121</v>
      </c>
      <c r="B118" t="s">
        <v>1180</v>
      </c>
      <c r="C118" t="s">
        <v>1181</v>
      </c>
      <c r="D118" t="s">
        <v>834</v>
      </c>
      <c r="E118" t="s">
        <v>969</v>
      </c>
    </row>
    <row r="119" spans="1:5" x14ac:dyDescent="0.3">
      <c r="A119" t="s">
        <v>1121</v>
      </c>
      <c r="B119" t="s">
        <v>1182</v>
      </c>
      <c r="C119" t="s">
        <v>1183</v>
      </c>
      <c r="D119" t="s">
        <v>836</v>
      </c>
      <c r="E119" t="s">
        <v>971</v>
      </c>
    </row>
    <row r="120" spans="1:5" x14ac:dyDescent="0.3">
      <c r="A120" t="s">
        <v>1121</v>
      </c>
      <c r="B120" t="s">
        <v>1184</v>
      </c>
      <c r="C120" t="s">
        <v>1186</v>
      </c>
      <c r="D120" t="s">
        <v>837</v>
      </c>
      <c r="E120" t="s">
        <v>1185</v>
      </c>
    </row>
    <row r="121" spans="1:5" x14ac:dyDescent="0.3">
      <c r="A121" t="s">
        <v>1121</v>
      </c>
      <c r="B121" t="s">
        <v>1187</v>
      </c>
      <c r="C121" t="s">
        <v>1189</v>
      </c>
      <c r="D121" t="s">
        <v>1479</v>
      </c>
      <c r="E121" t="s">
        <v>1188</v>
      </c>
    </row>
    <row r="122" spans="1:5" x14ac:dyDescent="0.3">
      <c r="A122" t="s">
        <v>1121</v>
      </c>
      <c r="B122" t="s">
        <v>1190</v>
      </c>
      <c r="C122" t="s">
        <v>1191</v>
      </c>
      <c r="D122" t="s">
        <v>839</v>
      </c>
      <c r="E122" t="s">
        <v>974</v>
      </c>
    </row>
    <row r="123" spans="1:5" x14ac:dyDescent="0.3">
      <c r="A123" t="s">
        <v>1121</v>
      </c>
      <c r="B123" t="s">
        <v>1192</v>
      </c>
      <c r="C123" t="s">
        <v>1194</v>
      </c>
      <c r="D123" t="s">
        <v>1480</v>
      </c>
      <c r="E123" t="s">
        <v>1193</v>
      </c>
    </row>
    <row r="124" spans="1:5" x14ac:dyDescent="0.3">
      <c r="A124" t="s">
        <v>1121</v>
      </c>
      <c r="B124" t="s">
        <v>1195</v>
      </c>
      <c r="C124" t="s">
        <v>1197</v>
      </c>
      <c r="D124" t="s">
        <v>841</v>
      </c>
      <c r="E124" t="s">
        <v>1196</v>
      </c>
    </row>
    <row r="125" spans="1:5" x14ac:dyDescent="0.3">
      <c r="A125" t="s">
        <v>1121</v>
      </c>
      <c r="B125" t="s">
        <v>1198</v>
      </c>
      <c r="C125" t="s">
        <v>1200</v>
      </c>
      <c r="D125" t="s">
        <v>843</v>
      </c>
      <c r="E125" t="s">
        <v>1199</v>
      </c>
    </row>
    <row r="126" spans="1:5" x14ac:dyDescent="0.3">
      <c r="A126" t="s">
        <v>1121</v>
      </c>
      <c r="B126" t="s">
        <v>1201</v>
      </c>
      <c r="C126" t="s">
        <v>1202</v>
      </c>
      <c r="D126" t="s">
        <v>1481</v>
      </c>
      <c r="E126" t="s">
        <v>979</v>
      </c>
    </row>
    <row r="127" spans="1:5" x14ac:dyDescent="0.3">
      <c r="A127" t="s">
        <v>1121</v>
      </c>
      <c r="B127" t="s">
        <v>1203</v>
      </c>
      <c r="C127" t="s">
        <v>1204</v>
      </c>
      <c r="D127" t="s">
        <v>1482</v>
      </c>
      <c r="E127" t="s">
        <v>980</v>
      </c>
    </row>
    <row r="128" spans="1:5" x14ac:dyDescent="0.3">
      <c r="A128" t="s">
        <v>1121</v>
      </c>
      <c r="B128" t="s">
        <v>1205</v>
      </c>
      <c r="C128" t="s">
        <v>1207</v>
      </c>
      <c r="D128" t="s">
        <v>846</v>
      </c>
      <c r="E128" t="s">
        <v>1206</v>
      </c>
    </row>
    <row r="129" spans="1:5" x14ac:dyDescent="0.3">
      <c r="A129" t="s">
        <v>1121</v>
      </c>
      <c r="B129" t="s">
        <v>1208</v>
      </c>
      <c r="C129" t="s">
        <v>1210</v>
      </c>
      <c r="D129" t="s">
        <v>847</v>
      </c>
      <c r="E129" t="s">
        <v>1209</v>
      </c>
    </row>
    <row r="130" spans="1:5" x14ac:dyDescent="0.3">
      <c r="A130" t="s">
        <v>1121</v>
      </c>
      <c r="B130" t="s">
        <v>1211</v>
      </c>
      <c r="C130" t="s">
        <v>1213</v>
      </c>
      <c r="D130" t="s">
        <v>848</v>
      </c>
      <c r="E130" t="s">
        <v>1212</v>
      </c>
    </row>
    <row r="131" spans="1:5" x14ac:dyDescent="0.3">
      <c r="A131" t="s">
        <v>1121</v>
      </c>
      <c r="B131" t="s">
        <v>1214</v>
      </c>
      <c r="C131" t="s">
        <v>1215</v>
      </c>
      <c r="D131" t="s">
        <v>849</v>
      </c>
      <c r="E131" t="s">
        <v>849</v>
      </c>
    </row>
    <row r="132" spans="1:5" x14ac:dyDescent="0.3">
      <c r="A132" t="s">
        <v>1121</v>
      </c>
      <c r="B132" t="s">
        <v>1216</v>
      </c>
      <c r="C132" t="s">
        <v>1218</v>
      </c>
      <c r="D132" t="s">
        <v>1483</v>
      </c>
      <c r="E132" t="s">
        <v>1217</v>
      </c>
    </row>
    <row r="133" spans="1:5" x14ac:dyDescent="0.3">
      <c r="A133" t="s">
        <v>1121</v>
      </c>
      <c r="B133" t="s">
        <v>1219</v>
      </c>
      <c r="C133" t="s">
        <v>1220</v>
      </c>
      <c r="D133" t="s">
        <v>851</v>
      </c>
      <c r="E133" t="s">
        <v>985</v>
      </c>
    </row>
    <row r="134" spans="1:5" x14ac:dyDescent="0.3">
      <c r="A134" t="s">
        <v>1121</v>
      </c>
      <c r="B134" t="s">
        <v>1222</v>
      </c>
      <c r="C134" t="s">
        <v>1223</v>
      </c>
      <c r="D134" t="s">
        <v>852</v>
      </c>
      <c r="E134" t="s">
        <v>986</v>
      </c>
    </row>
    <row r="135" spans="1:5" x14ac:dyDescent="0.3">
      <c r="A135" t="s">
        <v>1121</v>
      </c>
      <c r="B135" t="s">
        <v>1225</v>
      </c>
      <c r="C135" t="s">
        <v>1226</v>
      </c>
      <c r="D135" t="s">
        <v>854</v>
      </c>
      <c r="E135" t="s">
        <v>988</v>
      </c>
    </row>
    <row r="136" spans="1:5" x14ac:dyDescent="0.3">
      <c r="A136" t="s">
        <v>1121</v>
      </c>
      <c r="B136" t="s">
        <v>1227</v>
      </c>
      <c r="C136" t="s">
        <v>1229</v>
      </c>
      <c r="D136" t="s">
        <v>1484</v>
      </c>
      <c r="E136" t="s">
        <v>1228</v>
      </c>
    </row>
    <row r="137" spans="1:5" x14ac:dyDescent="0.3">
      <c r="A137" t="s">
        <v>1121</v>
      </c>
      <c r="B137" t="s">
        <v>1230</v>
      </c>
      <c r="C137" t="s">
        <v>1231</v>
      </c>
      <c r="D137" t="s">
        <v>989</v>
      </c>
      <c r="E137" t="s">
        <v>989</v>
      </c>
    </row>
    <row r="138" spans="1:5" x14ac:dyDescent="0.3">
      <c r="A138" t="s">
        <v>1121</v>
      </c>
      <c r="B138" t="s">
        <v>1232</v>
      </c>
      <c r="C138" t="s">
        <v>1234</v>
      </c>
      <c r="D138" t="s">
        <v>1485</v>
      </c>
      <c r="E138" t="s">
        <v>1233</v>
      </c>
    </row>
    <row r="139" spans="1:5" x14ac:dyDescent="0.3">
      <c r="A139" t="s">
        <v>1121</v>
      </c>
      <c r="B139" t="s">
        <v>1235</v>
      </c>
      <c r="C139" t="s">
        <v>1237</v>
      </c>
      <c r="D139" t="s">
        <v>1486</v>
      </c>
      <c r="E139" t="s">
        <v>1236</v>
      </c>
    </row>
    <row r="140" spans="1:5" x14ac:dyDescent="0.3">
      <c r="A140" t="s">
        <v>1121</v>
      </c>
      <c r="B140" t="s">
        <v>1238</v>
      </c>
      <c r="C140" t="s">
        <v>1240</v>
      </c>
      <c r="D140" t="s">
        <v>1487</v>
      </c>
      <c r="E140" t="s">
        <v>1239</v>
      </c>
    </row>
    <row r="141" spans="1:5" x14ac:dyDescent="0.3">
      <c r="A141" t="s">
        <v>1121</v>
      </c>
      <c r="B141" t="s">
        <v>1241</v>
      </c>
      <c r="C141" t="s">
        <v>1243</v>
      </c>
      <c r="D141" t="s">
        <v>1488</v>
      </c>
      <c r="E141" t="s">
        <v>1242</v>
      </c>
    </row>
    <row r="142" spans="1:5" x14ac:dyDescent="0.3">
      <c r="A142" t="s">
        <v>1121</v>
      </c>
      <c r="B142" t="s">
        <v>1244</v>
      </c>
      <c r="C142" t="s">
        <v>1246</v>
      </c>
      <c r="D142" t="s">
        <v>1489</v>
      </c>
      <c r="E142" t="s">
        <v>1245</v>
      </c>
    </row>
    <row r="143" spans="1:5" x14ac:dyDescent="0.3">
      <c r="A143" t="s">
        <v>1121</v>
      </c>
      <c r="B143" t="s">
        <v>1247</v>
      </c>
      <c r="C143" t="s">
        <v>1248</v>
      </c>
      <c r="D143" t="s">
        <v>861</v>
      </c>
      <c r="E143" t="s">
        <v>995</v>
      </c>
    </row>
    <row r="144" spans="1:5" x14ac:dyDescent="0.3">
      <c r="A144" t="s">
        <v>1121</v>
      </c>
      <c r="B144" t="s">
        <v>1250</v>
      </c>
      <c r="C144" t="s">
        <v>1251</v>
      </c>
      <c r="D144" t="s">
        <v>862</v>
      </c>
      <c r="E144" t="s">
        <v>996</v>
      </c>
    </row>
    <row r="145" spans="1:5" x14ac:dyDescent="0.3">
      <c r="A145" t="s">
        <v>1121</v>
      </c>
      <c r="B145" t="s">
        <v>1253</v>
      </c>
      <c r="C145" t="s">
        <v>1254</v>
      </c>
      <c r="D145" t="s">
        <v>1490</v>
      </c>
      <c r="E145" t="s">
        <v>997</v>
      </c>
    </row>
    <row r="146" spans="1:5" x14ac:dyDescent="0.3">
      <c r="A146" t="s">
        <v>1121</v>
      </c>
      <c r="B146" t="s">
        <v>1255</v>
      </c>
      <c r="C146" t="s">
        <v>1257</v>
      </c>
      <c r="D146" t="s">
        <v>1491</v>
      </c>
      <c r="E146" t="s">
        <v>1256</v>
      </c>
    </row>
    <row r="147" spans="1:5" x14ac:dyDescent="0.3">
      <c r="A147" t="s">
        <v>1121</v>
      </c>
      <c r="B147" t="s">
        <v>1258</v>
      </c>
      <c r="C147" t="s">
        <v>1260</v>
      </c>
      <c r="D147" t="s">
        <v>1492</v>
      </c>
      <c r="E147" t="s">
        <v>1259</v>
      </c>
    </row>
    <row r="148" spans="1:5" x14ac:dyDescent="0.3">
      <c r="A148" t="s">
        <v>1121</v>
      </c>
      <c r="B148" t="s">
        <v>1261</v>
      </c>
      <c r="C148" t="s">
        <v>1263</v>
      </c>
      <c r="D148" t="s">
        <v>1493</v>
      </c>
      <c r="E148" t="s">
        <v>1262</v>
      </c>
    </row>
    <row r="149" spans="1:5" x14ac:dyDescent="0.3">
      <c r="A149" t="s">
        <v>1121</v>
      </c>
      <c r="B149" t="s">
        <v>1264</v>
      </c>
      <c r="C149" t="s">
        <v>1266</v>
      </c>
      <c r="D149" t="s">
        <v>1494</v>
      </c>
      <c r="E149" t="s">
        <v>1265</v>
      </c>
    </row>
    <row r="150" spans="1:5" x14ac:dyDescent="0.3">
      <c r="A150" t="s">
        <v>1121</v>
      </c>
      <c r="B150" t="s">
        <v>1267</v>
      </c>
      <c r="C150" t="s">
        <v>1269</v>
      </c>
      <c r="D150" t="s">
        <v>857</v>
      </c>
      <c r="E150" t="s">
        <v>1268</v>
      </c>
    </row>
    <row r="151" spans="1:5" x14ac:dyDescent="0.3">
      <c r="A151" t="s">
        <v>1121</v>
      </c>
      <c r="B151" t="s">
        <v>1270</v>
      </c>
      <c r="C151" t="s">
        <v>1272</v>
      </c>
      <c r="D151" t="s">
        <v>1495</v>
      </c>
      <c r="E151" t="s">
        <v>1271</v>
      </c>
    </row>
    <row r="152" spans="1:5" x14ac:dyDescent="0.3">
      <c r="A152" t="s">
        <v>1121</v>
      </c>
      <c r="B152" t="s">
        <v>1273</v>
      </c>
      <c r="C152" t="s">
        <v>1275</v>
      </c>
      <c r="D152" t="s">
        <v>1496</v>
      </c>
      <c r="E152" t="s">
        <v>1274</v>
      </c>
    </row>
    <row r="153" spans="1:5" x14ac:dyDescent="0.3">
      <c r="A153" t="s">
        <v>1121</v>
      </c>
      <c r="B153" t="s">
        <v>1276</v>
      </c>
      <c r="C153" t="s">
        <v>1277</v>
      </c>
      <c r="D153" t="s">
        <v>868</v>
      </c>
      <c r="E153" t="s">
        <v>1002</v>
      </c>
    </row>
    <row r="154" spans="1:5" x14ac:dyDescent="0.3">
      <c r="A154" t="s">
        <v>1121</v>
      </c>
      <c r="B154" t="s">
        <v>1278</v>
      </c>
      <c r="C154" t="s">
        <v>1279</v>
      </c>
      <c r="D154" t="s">
        <v>869</v>
      </c>
      <c r="E154" t="s">
        <v>1003</v>
      </c>
    </row>
    <row r="155" spans="1:5" x14ac:dyDescent="0.3">
      <c r="A155" t="s">
        <v>1121</v>
      </c>
      <c r="B155" t="s">
        <v>1280</v>
      </c>
      <c r="C155" t="s">
        <v>1282</v>
      </c>
      <c r="D155" t="s">
        <v>870</v>
      </c>
      <c r="E155" t="s">
        <v>1281</v>
      </c>
    </row>
    <row r="156" spans="1:5" x14ac:dyDescent="0.3">
      <c r="A156" t="s">
        <v>1121</v>
      </c>
      <c r="B156" t="s">
        <v>1283</v>
      </c>
      <c r="C156" t="s">
        <v>1284</v>
      </c>
      <c r="D156" t="s">
        <v>871</v>
      </c>
      <c r="E156" t="s">
        <v>1005</v>
      </c>
    </row>
    <row r="157" spans="1:5" x14ac:dyDescent="0.3">
      <c r="A157" t="s">
        <v>1121</v>
      </c>
      <c r="B157" t="s">
        <v>1285</v>
      </c>
      <c r="C157" t="s">
        <v>1286</v>
      </c>
      <c r="D157" t="s">
        <v>872</v>
      </c>
      <c r="E157" t="s">
        <v>1006</v>
      </c>
    </row>
    <row r="158" spans="1:5" x14ac:dyDescent="0.3">
      <c r="A158" t="s">
        <v>1121</v>
      </c>
      <c r="B158" t="s">
        <v>1287</v>
      </c>
      <c r="C158" t="s">
        <v>1288</v>
      </c>
      <c r="D158" t="s">
        <v>873</v>
      </c>
      <c r="E158" t="s">
        <v>1007</v>
      </c>
    </row>
    <row r="159" spans="1:5" x14ac:dyDescent="0.3">
      <c r="A159" t="s">
        <v>1121</v>
      </c>
      <c r="B159" t="s">
        <v>1289</v>
      </c>
      <c r="C159" t="s">
        <v>1291</v>
      </c>
      <c r="D159" t="s">
        <v>1497</v>
      </c>
      <c r="E159" t="s">
        <v>1290</v>
      </c>
    </row>
    <row r="160" spans="1:5" x14ac:dyDescent="0.3">
      <c r="A160" t="s">
        <v>1121</v>
      </c>
      <c r="B160" t="s">
        <v>1292</v>
      </c>
      <c r="C160" t="s">
        <v>1294</v>
      </c>
      <c r="D160" t="s">
        <v>1498</v>
      </c>
      <c r="E160" t="s">
        <v>1293</v>
      </c>
    </row>
    <row r="161" spans="1:5" x14ac:dyDescent="0.3">
      <c r="A161" t="s">
        <v>1121</v>
      </c>
      <c r="B161" t="s">
        <v>1295</v>
      </c>
      <c r="C161" t="s">
        <v>1297</v>
      </c>
      <c r="D161" t="s">
        <v>1499</v>
      </c>
      <c r="E161" t="s">
        <v>1296</v>
      </c>
    </row>
    <row r="162" spans="1:5" x14ac:dyDescent="0.3">
      <c r="A162" t="s">
        <v>1121</v>
      </c>
      <c r="B162" t="s">
        <v>1298</v>
      </c>
      <c r="C162" t="s">
        <v>1300</v>
      </c>
      <c r="D162" t="s">
        <v>1500</v>
      </c>
      <c r="E162" t="s">
        <v>1299</v>
      </c>
    </row>
    <row r="163" spans="1:5" x14ac:dyDescent="0.3">
      <c r="A163" t="s">
        <v>1121</v>
      </c>
      <c r="B163" t="s">
        <v>1301</v>
      </c>
      <c r="C163" t="s">
        <v>1303</v>
      </c>
      <c r="D163" t="s">
        <v>1501</v>
      </c>
      <c r="E163" t="s">
        <v>1302</v>
      </c>
    </row>
    <row r="164" spans="1:5" x14ac:dyDescent="0.3">
      <c r="A164" t="s">
        <v>1121</v>
      </c>
      <c r="B164" t="s">
        <v>1304</v>
      </c>
      <c r="C164" t="s">
        <v>1306</v>
      </c>
      <c r="D164" t="s">
        <v>1502</v>
      </c>
      <c r="E164" t="s">
        <v>1305</v>
      </c>
    </row>
    <row r="165" spans="1:5" x14ac:dyDescent="0.3">
      <c r="A165" t="s">
        <v>1121</v>
      </c>
      <c r="B165" t="s">
        <v>1307</v>
      </c>
      <c r="C165" t="s">
        <v>1308</v>
      </c>
      <c r="D165" t="s">
        <v>1503</v>
      </c>
      <c r="E165" t="s">
        <v>1018</v>
      </c>
    </row>
    <row r="166" spans="1:5" x14ac:dyDescent="0.3">
      <c r="A166" t="s">
        <v>1121</v>
      </c>
      <c r="B166" t="s">
        <v>1309</v>
      </c>
      <c r="C166" t="s">
        <v>1311</v>
      </c>
      <c r="D166" t="s">
        <v>1504</v>
      </c>
      <c r="E166" t="s">
        <v>1310</v>
      </c>
    </row>
    <row r="167" spans="1:5" x14ac:dyDescent="0.3">
      <c r="A167" t="s">
        <v>1121</v>
      </c>
      <c r="B167" t="s">
        <v>1312</v>
      </c>
      <c r="C167" t="s">
        <v>1314</v>
      </c>
      <c r="D167" t="s">
        <v>1505</v>
      </c>
      <c r="E167" t="s">
        <v>1313</v>
      </c>
    </row>
    <row r="168" spans="1:5" x14ac:dyDescent="0.3">
      <c r="A168" t="s">
        <v>1121</v>
      </c>
      <c r="B168" t="s">
        <v>1315</v>
      </c>
      <c r="C168" t="s">
        <v>1317</v>
      </c>
      <c r="D168" t="s">
        <v>885</v>
      </c>
      <c r="E168" t="s">
        <v>1316</v>
      </c>
    </row>
    <row r="169" spans="1:5" x14ac:dyDescent="0.3">
      <c r="A169" t="s">
        <v>1121</v>
      </c>
      <c r="B169" t="s">
        <v>1318</v>
      </c>
      <c r="C169" t="s">
        <v>1320</v>
      </c>
      <c r="D169" t="s">
        <v>1506</v>
      </c>
      <c r="E169" t="s">
        <v>1319</v>
      </c>
    </row>
    <row r="170" spans="1:5" x14ac:dyDescent="0.3">
      <c r="A170" t="s">
        <v>1121</v>
      </c>
      <c r="B170" t="s">
        <v>1321</v>
      </c>
      <c r="C170" t="s">
        <v>1322</v>
      </c>
      <c r="D170" t="s">
        <v>1507</v>
      </c>
      <c r="E170" t="s">
        <v>1024</v>
      </c>
    </row>
    <row r="171" spans="1:5" x14ac:dyDescent="0.3">
      <c r="A171" t="s">
        <v>1121</v>
      </c>
      <c r="B171" t="s">
        <v>1323</v>
      </c>
      <c r="C171" t="s">
        <v>1325</v>
      </c>
      <c r="D171" t="s">
        <v>1508</v>
      </c>
      <c r="E171" t="s">
        <v>1324</v>
      </c>
    </row>
    <row r="172" spans="1:5" x14ac:dyDescent="0.3">
      <c r="A172" t="s">
        <v>1121</v>
      </c>
      <c r="B172" t="s">
        <v>1326</v>
      </c>
      <c r="C172" t="s">
        <v>1328</v>
      </c>
      <c r="D172" t="s">
        <v>1509</v>
      </c>
      <c r="E172" t="s">
        <v>1327</v>
      </c>
    </row>
    <row r="173" spans="1:5" x14ac:dyDescent="0.3">
      <c r="A173" t="s">
        <v>1121</v>
      </c>
      <c r="B173" t="s">
        <v>1329</v>
      </c>
      <c r="C173" t="s">
        <v>1331</v>
      </c>
      <c r="D173" t="s">
        <v>1510</v>
      </c>
      <c r="E173" t="s">
        <v>1330</v>
      </c>
    </row>
    <row r="174" spans="1:5" x14ac:dyDescent="0.3">
      <c r="A174" t="s">
        <v>1121</v>
      </c>
      <c r="B174" t="s">
        <v>1332</v>
      </c>
      <c r="C174" t="s">
        <v>1334</v>
      </c>
      <c r="D174" t="s">
        <v>1511</v>
      </c>
      <c r="E174" t="s">
        <v>1333</v>
      </c>
    </row>
    <row r="175" spans="1:5" x14ac:dyDescent="0.3">
      <c r="A175" t="s">
        <v>1121</v>
      </c>
      <c r="B175" t="s">
        <v>1335</v>
      </c>
      <c r="C175" t="s">
        <v>1336</v>
      </c>
      <c r="D175" t="s">
        <v>1071</v>
      </c>
      <c r="E175" t="s">
        <v>1071</v>
      </c>
    </row>
    <row r="176" spans="1:5" x14ac:dyDescent="0.3">
      <c r="A176" t="s">
        <v>1121</v>
      </c>
      <c r="B176" t="s">
        <v>1337</v>
      </c>
      <c r="C176" t="s">
        <v>1339</v>
      </c>
      <c r="D176" t="s">
        <v>1512</v>
      </c>
      <c r="E176" t="s">
        <v>1338</v>
      </c>
    </row>
    <row r="177" spans="1:5" x14ac:dyDescent="0.3">
      <c r="A177" t="s">
        <v>1121</v>
      </c>
      <c r="B177" t="s">
        <v>1340</v>
      </c>
      <c r="C177" t="s">
        <v>1342</v>
      </c>
      <c r="D177" t="s">
        <v>1513</v>
      </c>
      <c r="E177" t="s">
        <v>1341</v>
      </c>
    </row>
    <row r="178" spans="1:5" x14ac:dyDescent="0.3">
      <c r="A178" t="s">
        <v>1121</v>
      </c>
      <c r="B178" t="s">
        <v>1343</v>
      </c>
      <c r="C178" t="s">
        <v>1345</v>
      </c>
      <c r="D178" t="s">
        <v>1514</v>
      </c>
      <c r="E178" t="s">
        <v>1344</v>
      </c>
    </row>
    <row r="179" spans="1:5" x14ac:dyDescent="0.3">
      <c r="A179" t="s">
        <v>1121</v>
      </c>
      <c r="B179" t="s">
        <v>1346</v>
      </c>
      <c r="C179" t="s">
        <v>1348</v>
      </c>
      <c r="D179" t="s">
        <v>1515</v>
      </c>
      <c r="E179" t="s">
        <v>1347</v>
      </c>
    </row>
    <row r="180" spans="1:5" x14ac:dyDescent="0.3">
      <c r="A180" t="s">
        <v>1121</v>
      </c>
      <c r="B180" t="s">
        <v>1349</v>
      </c>
      <c r="C180" t="s">
        <v>1351</v>
      </c>
      <c r="D180" t="s">
        <v>1516</v>
      </c>
      <c r="E180" t="s">
        <v>1350</v>
      </c>
    </row>
    <row r="181" spans="1:5" x14ac:dyDescent="0.3">
      <c r="A181" t="s">
        <v>1121</v>
      </c>
      <c r="B181" t="s">
        <v>1352</v>
      </c>
      <c r="C181" t="s">
        <v>1354</v>
      </c>
      <c r="D181" t="s">
        <v>929</v>
      </c>
      <c r="E181" t="s">
        <v>1353</v>
      </c>
    </row>
    <row r="182" spans="1:5" x14ac:dyDescent="0.3">
      <c r="A182" t="s">
        <v>1121</v>
      </c>
      <c r="B182" t="s">
        <v>1355</v>
      </c>
      <c r="C182" t="s">
        <v>1357</v>
      </c>
      <c r="D182" t="s">
        <v>1517</v>
      </c>
      <c r="E182" t="s">
        <v>1356</v>
      </c>
    </row>
    <row r="183" spans="1:5" x14ac:dyDescent="0.3">
      <c r="A183" t="s">
        <v>258</v>
      </c>
      <c r="B183" t="s">
        <v>668</v>
      </c>
      <c r="C183" t="s">
        <v>261</v>
      </c>
      <c r="D183" t="s">
        <v>804</v>
      </c>
      <c r="E183" t="s">
        <v>804</v>
      </c>
    </row>
    <row r="184" spans="1:5" x14ac:dyDescent="0.3">
      <c r="A184" t="s">
        <v>258</v>
      </c>
      <c r="B184" t="s">
        <v>669</v>
      </c>
      <c r="C184" t="s">
        <v>263</v>
      </c>
      <c r="D184" t="s">
        <v>805</v>
      </c>
      <c r="E184" t="s">
        <v>805</v>
      </c>
    </row>
    <row r="185" spans="1:5" x14ac:dyDescent="0.3">
      <c r="A185" t="s">
        <v>258</v>
      </c>
      <c r="B185" t="s">
        <v>670</v>
      </c>
      <c r="C185" t="s">
        <v>266</v>
      </c>
      <c r="D185" t="s">
        <v>806</v>
      </c>
      <c r="E185" t="s">
        <v>806</v>
      </c>
    </row>
    <row r="186" spans="1:5" x14ac:dyDescent="0.3">
      <c r="A186" t="s">
        <v>258</v>
      </c>
      <c r="B186" t="s">
        <v>671</v>
      </c>
      <c r="C186" t="s">
        <v>656</v>
      </c>
      <c r="D186" t="s">
        <v>807</v>
      </c>
      <c r="E186" t="s">
        <v>942</v>
      </c>
    </row>
    <row r="187" spans="1:5" x14ac:dyDescent="0.3">
      <c r="B187" t="s">
        <v>943</v>
      </c>
      <c r="D187" t="e">
        <v>#N/A</v>
      </c>
      <c r="E187" t="s">
        <v>943</v>
      </c>
    </row>
    <row r="188" spans="1:5" x14ac:dyDescent="0.3">
      <c r="A188" t="s">
        <v>258</v>
      </c>
      <c r="B188" t="s">
        <v>672</v>
      </c>
      <c r="C188" t="s">
        <v>271</v>
      </c>
      <c r="D188" t="s">
        <v>808</v>
      </c>
      <c r="E188" t="s">
        <v>944</v>
      </c>
    </row>
    <row r="189" spans="1:5" x14ac:dyDescent="0.3">
      <c r="A189" t="s">
        <v>258</v>
      </c>
      <c r="B189" t="s">
        <v>673</v>
      </c>
      <c r="C189" t="s">
        <v>658</v>
      </c>
      <c r="D189" t="s">
        <v>809</v>
      </c>
      <c r="E189" t="s">
        <v>945</v>
      </c>
    </row>
    <row r="190" spans="1:5" x14ac:dyDescent="0.3">
      <c r="A190" t="s">
        <v>258</v>
      </c>
      <c r="B190" t="s">
        <v>674</v>
      </c>
      <c r="C190" t="s">
        <v>276</v>
      </c>
      <c r="D190" t="s">
        <v>810</v>
      </c>
      <c r="E190" t="s">
        <v>810</v>
      </c>
    </row>
    <row r="191" spans="1:5" x14ac:dyDescent="0.3">
      <c r="A191" t="s">
        <v>258</v>
      </c>
      <c r="B191" t="s">
        <v>675</v>
      </c>
      <c r="C191" t="s">
        <v>279</v>
      </c>
      <c r="D191" t="s">
        <v>811</v>
      </c>
      <c r="E191" t="s">
        <v>946</v>
      </c>
    </row>
    <row r="192" spans="1:5" x14ac:dyDescent="0.3">
      <c r="A192" t="s">
        <v>258</v>
      </c>
      <c r="B192" t="s">
        <v>676</v>
      </c>
      <c r="C192" t="s">
        <v>282</v>
      </c>
      <c r="D192" t="s">
        <v>812</v>
      </c>
      <c r="E192" t="s">
        <v>947</v>
      </c>
    </row>
    <row r="193" spans="1:5" x14ac:dyDescent="0.3">
      <c r="A193" t="s">
        <v>258</v>
      </c>
      <c r="B193" t="s">
        <v>677</v>
      </c>
      <c r="C193" t="s">
        <v>285</v>
      </c>
      <c r="D193" t="s">
        <v>813</v>
      </c>
      <c r="E193" t="s">
        <v>948</v>
      </c>
    </row>
    <row r="194" spans="1:5" x14ac:dyDescent="0.3">
      <c r="A194" t="s">
        <v>258</v>
      </c>
      <c r="B194" t="s">
        <v>678</v>
      </c>
      <c r="C194" t="s">
        <v>288</v>
      </c>
      <c r="D194" t="s">
        <v>814</v>
      </c>
      <c r="E194" t="s">
        <v>949</v>
      </c>
    </row>
    <row r="195" spans="1:5" x14ac:dyDescent="0.3">
      <c r="A195" t="s">
        <v>258</v>
      </c>
      <c r="B195" t="s">
        <v>679</v>
      </c>
      <c r="C195" t="s">
        <v>291</v>
      </c>
      <c r="D195" t="s">
        <v>815</v>
      </c>
      <c r="E195" t="s">
        <v>950</v>
      </c>
    </row>
    <row r="196" spans="1:5" x14ac:dyDescent="0.3">
      <c r="B196" t="s">
        <v>943</v>
      </c>
      <c r="D196" t="e">
        <v>#N/A</v>
      </c>
      <c r="E196" t="s">
        <v>943</v>
      </c>
    </row>
    <row r="197" spans="1:5" x14ac:dyDescent="0.3">
      <c r="A197" t="s">
        <v>258</v>
      </c>
      <c r="B197" t="s">
        <v>680</v>
      </c>
      <c r="C197" t="s">
        <v>660</v>
      </c>
      <c r="D197" t="s">
        <v>816</v>
      </c>
      <c r="E197" t="s">
        <v>951</v>
      </c>
    </row>
    <row r="198" spans="1:5" x14ac:dyDescent="0.3">
      <c r="A198" t="s">
        <v>258</v>
      </c>
      <c r="B198" t="s">
        <v>681</v>
      </c>
      <c r="C198" t="s">
        <v>662</v>
      </c>
      <c r="D198" t="s">
        <v>817</v>
      </c>
      <c r="E198" t="s">
        <v>952</v>
      </c>
    </row>
    <row r="199" spans="1:5" x14ac:dyDescent="0.3">
      <c r="A199" t="s">
        <v>258</v>
      </c>
      <c r="B199" t="s">
        <v>682</v>
      </c>
      <c r="C199" t="s">
        <v>298</v>
      </c>
      <c r="D199" t="s">
        <v>818</v>
      </c>
      <c r="E199" t="s">
        <v>953</v>
      </c>
    </row>
    <row r="200" spans="1:5" x14ac:dyDescent="0.3">
      <c r="B200" t="s">
        <v>943</v>
      </c>
      <c r="D200" t="e">
        <v>#N/A</v>
      </c>
      <c r="E200" t="s">
        <v>943</v>
      </c>
    </row>
    <row r="201" spans="1:5" x14ac:dyDescent="0.3">
      <c r="A201" t="s">
        <v>258</v>
      </c>
      <c r="B201" t="s">
        <v>683</v>
      </c>
      <c r="C201" t="s">
        <v>301</v>
      </c>
      <c r="D201" t="s">
        <v>819</v>
      </c>
      <c r="E201" t="s">
        <v>954</v>
      </c>
    </row>
    <row r="202" spans="1:5" x14ac:dyDescent="0.3">
      <c r="A202" t="s">
        <v>258</v>
      </c>
      <c r="B202" t="s">
        <v>684</v>
      </c>
      <c r="C202" t="s">
        <v>304</v>
      </c>
      <c r="D202" t="s">
        <v>820</v>
      </c>
      <c r="E202" t="s">
        <v>955</v>
      </c>
    </row>
    <row r="203" spans="1:5" x14ac:dyDescent="0.3">
      <c r="A203" t="s">
        <v>258</v>
      </c>
      <c r="B203" t="s">
        <v>685</v>
      </c>
      <c r="C203" t="s">
        <v>307</v>
      </c>
      <c r="D203" t="s">
        <v>821</v>
      </c>
      <c r="E203" t="s">
        <v>956</v>
      </c>
    </row>
    <row r="204" spans="1:5" x14ac:dyDescent="0.3">
      <c r="A204" t="s">
        <v>258</v>
      </c>
      <c r="B204" t="s">
        <v>686</v>
      </c>
      <c r="C204" t="s">
        <v>310</v>
      </c>
      <c r="D204" t="s">
        <v>822</v>
      </c>
      <c r="E204" t="s">
        <v>957</v>
      </c>
    </row>
    <row r="205" spans="1:5" x14ac:dyDescent="0.3">
      <c r="A205" t="s">
        <v>258</v>
      </c>
      <c r="B205" t="s">
        <v>687</v>
      </c>
      <c r="C205" t="s">
        <v>664</v>
      </c>
      <c r="D205" t="s">
        <v>823</v>
      </c>
      <c r="E205" t="s">
        <v>958</v>
      </c>
    </row>
    <row r="206" spans="1:5" x14ac:dyDescent="0.3">
      <c r="A206" t="s">
        <v>258</v>
      </c>
      <c r="B206" t="s">
        <v>688</v>
      </c>
      <c r="C206" t="s">
        <v>666</v>
      </c>
      <c r="D206" t="s">
        <v>824</v>
      </c>
      <c r="E206" t="s">
        <v>959</v>
      </c>
    </row>
    <row r="207" spans="1:5" x14ac:dyDescent="0.3">
      <c r="A207" t="s">
        <v>258</v>
      </c>
      <c r="B207" t="s">
        <v>689</v>
      </c>
      <c r="C207" t="s">
        <v>317</v>
      </c>
      <c r="D207" t="s">
        <v>825</v>
      </c>
      <c r="E207" t="s">
        <v>960</v>
      </c>
    </row>
    <row r="208" spans="1:5" x14ac:dyDescent="0.3">
      <c r="A208" t="s">
        <v>258</v>
      </c>
      <c r="B208" t="s">
        <v>690</v>
      </c>
      <c r="C208" t="s">
        <v>667</v>
      </c>
      <c r="D208" t="s">
        <v>826</v>
      </c>
      <c r="E208" t="s">
        <v>961</v>
      </c>
    </row>
    <row r="209" spans="1:5" x14ac:dyDescent="0.3">
      <c r="A209" t="s">
        <v>258</v>
      </c>
      <c r="B209" t="s">
        <v>691</v>
      </c>
      <c r="C209" t="s">
        <v>321</v>
      </c>
      <c r="D209" t="s">
        <v>827</v>
      </c>
      <c r="E209" t="s">
        <v>962</v>
      </c>
    </row>
    <row r="210" spans="1:5" x14ac:dyDescent="0.3">
      <c r="A210" t="s">
        <v>258</v>
      </c>
      <c r="B210" t="s">
        <v>692</v>
      </c>
      <c r="C210" t="s">
        <v>324</v>
      </c>
      <c r="D210" t="s">
        <v>828</v>
      </c>
      <c r="E210" t="s">
        <v>963</v>
      </c>
    </row>
    <row r="211" spans="1:5" x14ac:dyDescent="0.3">
      <c r="B211" t="s">
        <v>943</v>
      </c>
      <c r="D211" t="e">
        <v>#N/A</v>
      </c>
      <c r="E211" t="s">
        <v>943</v>
      </c>
    </row>
    <row r="212" spans="1:5" x14ac:dyDescent="0.3">
      <c r="A212" t="s">
        <v>258</v>
      </c>
      <c r="B212" t="s">
        <v>693</v>
      </c>
      <c r="C212" t="s">
        <v>327</v>
      </c>
      <c r="D212" t="s">
        <v>829</v>
      </c>
      <c r="E212" t="s">
        <v>964</v>
      </c>
    </row>
    <row r="213" spans="1:5" x14ac:dyDescent="0.3">
      <c r="A213" t="s">
        <v>258</v>
      </c>
      <c r="B213" t="s">
        <v>694</v>
      </c>
      <c r="C213" t="s">
        <v>330</v>
      </c>
      <c r="D213" t="s">
        <v>830</v>
      </c>
      <c r="E213" t="s">
        <v>965</v>
      </c>
    </row>
    <row r="214" spans="1:5" x14ac:dyDescent="0.3">
      <c r="A214" t="s">
        <v>258</v>
      </c>
      <c r="B214" t="s">
        <v>695</v>
      </c>
      <c r="C214" t="s">
        <v>333</v>
      </c>
      <c r="D214" t="s">
        <v>831</v>
      </c>
      <c r="E214" t="s">
        <v>966</v>
      </c>
    </row>
    <row r="215" spans="1:5" x14ac:dyDescent="0.3">
      <c r="A215" t="s">
        <v>258</v>
      </c>
      <c r="B215" t="s">
        <v>696</v>
      </c>
      <c r="C215" t="s">
        <v>336</v>
      </c>
      <c r="D215" t="s">
        <v>832</v>
      </c>
      <c r="E215" t="s">
        <v>967</v>
      </c>
    </row>
    <row r="216" spans="1:5" x14ac:dyDescent="0.3">
      <c r="A216" t="s">
        <v>258</v>
      </c>
      <c r="B216" t="s">
        <v>697</v>
      </c>
      <c r="C216" t="s">
        <v>339</v>
      </c>
      <c r="D216" t="s">
        <v>833</v>
      </c>
      <c r="E216" t="s">
        <v>968</v>
      </c>
    </row>
    <row r="217" spans="1:5" x14ac:dyDescent="0.3">
      <c r="A217" t="s">
        <v>258</v>
      </c>
      <c r="B217" t="s">
        <v>698</v>
      </c>
      <c r="C217" t="s">
        <v>342</v>
      </c>
      <c r="D217" t="s">
        <v>834</v>
      </c>
      <c r="E217" t="s">
        <v>969</v>
      </c>
    </row>
    <row r="218" spans="1:5" x14ac:dyDescent="0.3">
      <c r="A218" t="s">
        <v>258</v>
      </c>
      <c r="B218" t="s">
        <v>699</v>
      </c>
      <c r="C218" t="s">
        <v>345</v>
      </c>
      <c r="D218" t="s">
        <v>835</v>
      </c>
      <c r="E218" t="s">
        <v>970</v>
      </c>
    </row>
    <row r="219" spans="1:5" x14ac:dyDescent="0.3">
      <c r="A219" t="s">
        <v>258</v>
      </c>
      <c r="B219" t="s">
        <v>700</v>
      </c>
      <c r="C219" t="s">
        <v>348</v>
      </c>
      <c r="D219" t="s">
        <v>836</v>
      </c>
      <c r="E219" t="s">
        <v>971</v>
      </c>
    </row>
    <row r="220" spans="1:5" x14ac:dyDescent="0.3">
      <c r="A220" t="s">
        <v>258</v>
      </c>
      <c r="B220" t="s">
        <v>701</v>
      </c>
      <c r="C220" t="s">
        <v>351</v>
      </c>
      <c r="D220" t="s">
        <v>837</v>
      </c>
      <c r="E220" t="s">
        <v>972</v>
      </c>
    </row>
    <row r="221" spans="1:5" x14ac:dyDescent="0.3">
      <c r="A221" t="s">
        <v>258</v>
      </c>
      <c r="B221" t="s">
        <v>702</v>
      </c>
      <c r="C221" t="s">
        <v>354</v>
      </c>
      <c r="D221" t="s">
        <v>838</v>
      </c>
      <c r="E221" t="s">
        <v>973</v>
      </c>
    </row>
    <row r="222" spans="1:5" x14ac:dyDescent="0.3">
      <c r="A222" t="s">
        <v>258</v>
      </c>
      <c r="B222" t="s">
        <v>703</v>
      </c>
      <c r="C222" t="s">
        <v>357</v>
      </c>
      <c r="D222" t="s">
        <v>839</v>
      </c>
      <c r="E222" t="s">
        <v>974</v>
      </c>
    </row>
    <row r="223" spans="1:5" x14ac:dyDescent="0.3">
      <c r="B223" t="s">
        <v>943</v>
      </c>
      <c r="D223" t="e">
        <v>#N/A</v>
      </c>
      <c r="E223" t="s">
        <v>943</v>
      </c>
    </row>
    <row r="224" spans="1:5" x14ac:dyDescent="0.3">
      <c r="A224" t="s">
        <v>258</v>
      </c>
      <c r="B224" t="s">
        <v>704</v>
      </c>
      <c r="C224" t="s">
        <v>360</v>
      </c>
      <c r="D224" t="s">
        <v>840</v>
      </c>
      <c r="E224" t="s">
        <v>975</v>
      </c>
    </row>
    <row r="225" spans="1:5" x14ac:dyDescent="0.3">
      <c r="A225" t="s">
        <v>258</v>
      </c>
      <c r="B225" t="s">
        <v>705</v>
      </c>
      <c r="C225" t="s">
        <v>363</v>
      </c>
      <c r="D225" t="s">
        <v>841</v>
      </c>
      <c r="E225" t="s">
        <v>976</v>
      </c>
    </row>
    <row r="226" spans="1:5" x14ac:dyDescent="0.3">
      <c r="A226" t="s">
        <v>258</v>
      </c>
      <c r="B226" t="s">
        <v>706</v>
      </c>
      <c r="C226" t="s">
        <v>366</v>
      </c>
      <c r="D226" t="s">
        <v>842</v>
      </c>
      <c r="E226" t="s">
        <v>977</v>
      </c>
    </row>
    <row r="227" spans="1:5" x14ac:dyDescent="0.3">
      <c r="A227" t="s">
        <v>258</v>
      </c>
      <c r="B227" t="s">
        <v>707</v>
      </c>
      <c r="C227" t="s">
        <v>369</v>
      </c>
      <c r="D227" t="s">
        <v>843</v>
      </c>
      <c r="E227" t="s">
        <v>978</v>
      </c>
    </row>
    <row r="228" spans="1:5" x14ac:dyDescent="0.3">
      <c r="A228" t="s">
        <v>258</v>
      </c>
      <c r="B228" t="s">
        <v>708</v>
      </c>
      <c r="C228" t="s">
        <v>372</v>
      </c>
      <c r="D228" t="s">
        <v>844</v>
      </c>
      <c r="E228" t="s">
        <v>979</v>
      </c>
    </row>
    <row r="229" spans="1:5" x14ac:dyDescent="0.3">
      <c r="A229" t="s">
        <v>258</v>
      </c>
      <c r="B229" t="s">
        <v>709</v>
      </c>
      <c r="C229" t="s">
        <v>375</v>
      </c>
      <c r="D229" t="s">
        <v>845</v>
      </c>
      <c r="E229" t="s">
        <v>980</v>
      </c>
    </row>
    <row r="230" spans="1:5" x14ac:dyDescent="0.3">
      <c r="A230" t="s">
        <v>258</v>
      </c>
      <c r="B230" t="s">
        <v>710</v>
      </c>
      <c r="C230" t="s">
        <v>378</v>
      </c>
      <c r="D230" t="s">
        <v>846</v>
      </c>
      <c r="E230" t="s">
        <v>981</v>
      </c>
    </row>
    <row r="231" spans="1:5" x14ac:dyDescent="0.3">
      <c r="A231" t="s">
        <v>258</v>
      </c>
      <c r="B231" t="s">
        <v>711</v>
      </c>
      <c r="C231" t="s">
        <v>381</v>
      </c>
      <c r="D231" t="s">
        <v>847</v>
      </c>
      <c r="E231" t="s">
        <v>982</v>
      </c>
    </row>
    <row r="232" spans="1:5" x14ac:dyDescent="0.3">
      <c r="A232" t="s">
        <v>258</v>
      </c>
      <c r="B232" t="s">
        <v>712</v>
      </c>
      <c r="C232" t="s">
        <v>384</v>
      </c>
      <c r="D232" t="s">
        <v>848</v>
      </c>
      <c r="E232" t="s">
        <v>983</v>
      </c>
    </row>
    <row r="233" spans="1:5" x14ac:dyDescent="0.3">
      <c r="B233" t="s">
        <v>943</v>
      </c>
      <c r="D233" t="e">
        <v>#N/A</v>
      </c>
      <c r="E233" t="s">
        <v>943</v>
      </c>
    </row>
    <row r="234" spans="1:5" x14ac:dyDescent="0.3">
      <c r="A234" t="s">
        <v>258</v>
      </c>
      <c r="B234" t="s">
        <v>713</v>
      </c>
      <c r="C234" t="s">
        <v>387</v>
      </c>
      <c r="D234" t="s">
        <v>849</v>
      </c>
      <c r="E234" t="s">
        <v>849</v>
      </c>
    </row>
    <row r="235" spans="1:5" x14ac:dyDescent="0.3">
      <c r="A235" t="s">
        <v>258</v>
      </c>
      <c r="B235" t="s">
        <v>714</v>
      </c>
      <c r="C235" t="s">
        <v>390</v>
      </c>
      <c r="D235" t="s">
        <v>850</v>
      </c>
      <c r="E235" t="s">
        <v>984</v>
      </c>
    </row>
    <row r="236" spans="1:5" x14ac:dyDescent="0.3">
      <c r="B236" t="s">
        <v>943</v>
      </c>
      <c r="D236" t="e">
        <v>#N/A</v>
      </c>
      <c r="E236" t="s">
        <v>943</v>
      </c>
    </row>
    <row r="237" spans="1:5" x14ac:dyDescent="0.3">
      <c r="A237" t="s">
        <v>258</v>
      </c>
      <c r="B237" t="s">
        <v>715</v>
      </c>
      <c r="C237" t="s">
        <v>393</v>
      </c>
      <c r="D237" t="s">
        <v>851</v>
      </c>
      <c r="E237" t="s">
        <v>985</v>
      </c>
    </row>
    <row r="238" spans="1:5" x14ac:dyDescent="0.3">
      <c r="A238" t="s">
        <v>258</v>
      </c>
      <c r="B238" t="s">
        <v>716</v>
      </c>
      <c r="C238" t="s">
        <v>396</v>
      </c>
      <c r="D238" t="s">
        <v>852</v>
      </c>
      <c r="E238" t="s">
        <v>986</v>
      </c>
    </row>
    <row r="239" spans="1:5" x14ac:dyDescent="0.3">
      <c r="A239" t="s">
        <v>258</v>
      </c>
      <c r="B239" t="s">
        <v>717</v>
      </c>
      <c r="C239" t="s">
        <v>399</v>
      </c>
      <c r="D239" t="s">
        <v>853</v>
      </c>
      <c r="E239" t="s">
        <v>987</v>
      </c>
    </row>
    <row r="240" spans="1:5" x14ac:dyDescent="0.3">
      <c r="A240" t="s">
        <v>258</v>
      </c>
      <c r="B240" t="s">
        <v>718</v>
      </c>
      <c r="C240" t="s">
        <v>402</v>
      </c>
      <c r="D240" t="s">
        <v>854</v>
      </c>
      <c r="E240" t="s">
        <v>988</v>
      </c>
    </row>
    <row r="241" spans="1:5" x14ac:dyDescent="0.3">
      <c r="A241" t="s">
        <v>258</v>
      </c>
      <c r="B241" t="s">
        <v>719</v>
      </c>
      <c r="C241" t="s">
        <v>405</v>
      </c>
      <c r="D241" t="s">
        <v>855</v>
      </c>
      <c r="E241" t="s">
        <v>989</v>
      </c>
    </row>
    <row r="242" spans="1:5" x14ac:dyDescent="0.3">
      <c r="A242" t="s">
        <v>258</v>
      </c>
      <c r="B242" t="s">
        <v>720</v>
      </c>
      <c r="C242" t="s">
        <v>408</v>
      </c>
      <c r="D242" t="s">
        <v>856</v>
      </c>
      <c r="E242" t="s">
        <v>990</v>
      </c>
    </row>
    <row r="243" spans="1:5" x14ac:dyDescent="0.3">
      <c r="B243" t="s">
        <v>943</v>
      </c>
      <c r="D243" t="e">
        <v>#N/A</v>
      </c>
      <c r="E243" t="s">
        <v>943</v>
      </c>
    </row>
    <row r="244" spans="1:5" x14ac:dyDescent="0.3">
      <c r="A244" t="s">
        <v>258</v>
      </c>
      <c r="B244" t="s">
        <v>721</v>
      </c>
      <c r="C244" t="s">
        <v>411</v>
      </c>
      <c r="D244" t="s">
        <v>857</v>
      </c>
      <c r="E244" t="s">
        <v>991</v>
      </c>
    </row>
    <row r="245" spans="1:5" x14ac:dyDescent="0.3">
      <c r="A245" t="s">
        <v>258</v>
      </c>
      <c r="B245" t="s">
        <v>722</v>
      </c>
      <c r="C245" t="s">
        <v>414</v>
      </c>
      <c r="D245" t="s">
        <v>858</v>
      </c>
      <c r="E245" t="s">
        <v>992</v>
      </c>
    </row>
    <row r="246" spans="1:5" x14ac:dyDescent="0.3">
      <c r="B246" t="s">
        <v>943</v>
      </c>
      <c r="D246" t="e">
        <v>#N/A</v>
      </c>
      <c r="E246" t="s">
        <v>943</v>
      </c>
    </row>
    <row r="247" spans="1:5" x14ac:dyDescent="0.3">
      <c r="A247" t="s">
        <v>258</v>
      </c>
      <c r="B247" t="s">
        <v>723</v>
      </c>
      <c r="C247" t="s">
        <v>417</v>
      </c>
      <c r="D247" t="s">
        <v>859</v>
      </c>
      <c r="E247" t="s">
        <v>993</v>
      </c>
    </row>
    <row r="248" spans="1:5" x14ac:dyDescent="0.3">
      <c r="A248" t="s">
        <v>258</v>
      </c>
      <c r="B248" t="s">
        <v>724</v>
      </c>
      <c r="C248" t="s">
        <v>420</v>
      </c>
      <c r="D248" t="s">
        <v>860</v>
      </c>
      <c r="E248" t="s">
        <v>994</v>
      </c>
    </row>
    <row r="249" spans="1:5" x14ac:dyDescent="0.3">
      <c r="B249" t="s">
        <v>943</v>
      </c>
      <c r="D249" t="e">
        <v>#N/A</v>
      </c>
      <c r="E249" t="s">
        <v>943</v>
      </c>
    </row>
    <row r="250" spans="1:5" x14ac:dyDescent="0.3">
      <c r="A250" t="s">
        <v>258</v>
      </c>
      <c r="B250" t="s">
        <v>725</v>
      </c>
      <c r="C250" t="s">
        <v>423</v>
      </c>
      <c r="D250" t="s">
        <v>861</v>
      </c>
      <c r="E250" t="s">
        <v>995</v>
      </c>
    </row>
    <row r="251" spans="1:5" x14ac:dyDescent="0.3">
      <c r="A251" t="s">
        <v>258</v>
      </c>
      <c r="B251" t="s">
        <v>726</v>
      </c>
      <c r="C251" t="s">
        <v>426</v>
      </c>
      <c r="D251" t="s">
        <v>862</v>
      </c>
      <c r="E251" t="s">
        <v>996</v>
      </c>
    </row>
    <row r="252" spans="1:5" x14ac:dyDescent="0.3">
      <c r="B252" t="s">
        <v>943</v>
      </c>
      <c r="D252" t="e">
        <v>#N/A</v>
      </c>
      <c r="E252" t="s">
        <v>943</v>
      </c>
    </row>
    <row r="253" spans="1:5" x14ac:dyDescent="0.3">
      <c r="A253" t="s">
        <v>258</v>
      </c>
      <c r="B253" t="s">
        <v>727</v>
      </c>
      <c r="C253" t="s">
        <v>429</v>
      </c>
      <c r="D253" t="s">
        <v>863</v>
      </c>
      <c r="E253" t="s">
        <v>997</v>
      </c>
    </row>
    <row r="254" spans="1:5" x14ac:dyDescent="0.3">
      <c r="A254" t="s">
        <v>258</v>
      </c>
      <c r="B254" t="s">
        <v>728</v>
      </c>
      <c r="C254" t="s">
        <v>432</v>
      </c>
      <c r="D254" t="s">
        <v>864</v>
      </c>
      <c r="E254" t="s">
        <v>998</v>
      </c>
    </row>
    <row r="255" spans="1:5" x14ac:dyDescent="0.3">
      <c r="A255" t="s">
        <v>258</v>
      </c>
      <c r="B255" t="s">
        <v>729</v>
      </c>
      <c r="C255" t="s">
        <v>435</v>
      </c>
      <c r="D255" t="s">
        <v>865</v>
      </c>
      <c r="E255" t="s">
        <v>999</v>
      </c>
    </row>
    <row r="256" spans="1:5" x14ac:dyDescent="0.3">
      <c r="A256" t="s">
        <v>258</v>
      </c>
      <c r="B256" t="s">
        <v>730</v>
      </c>
      <c r="C256" t="s">
        <v>1473</v>
      </c>
      <c r="D256" t="s">
        <v>866</v>
      </c>
      <c r="E256" t="s">
        <v>1000</v>
      </c>
    </row>
    <row r="257" spans="1:5" x14ac:dyDescent="0.3">
      <c r="A257" t="s">
        <v>258</v>
      </c>
      <c r="B257" t="s">
        <v>731</v>
      </c>
      <c r="C257" t="s">
        <v>441</v>
      </c>
      <c r="D257" t="s">
        <v>867</v>
      </c>
      <c r="E257" t="s">
        <v>1001</v>
      </c>
    </row>
    <row r="258" spans="1:5" x14ac:dyDescent="0.3">
      <c r="B258" t="s">
        <v>943</v>
      </c>
      <c r="D258" t="e">
        <v>#N/A</v>
      </c>
      <c r="E258" t="s">
        <v>943</v>
      </c>
    </row>
    <row r="259" spans="1:5" x14ac:dyDescent="0.3">
      <c r="A259" t="s">
        <v>258</v>
      </c>
      <c r="B259" t="s">
        <v>732</v>
      </c>
      <c r="C259" t="s">
        <v>444</v>
      </c>
      <c r="D259" t="s">
        <v>868</v>
      </c>
      <c r="E259" t="s">
        <v>1002</v>
      </c>
    </row>
    <row r="260" spans="1:5" x14ac:dyDescent="0.3">
      <c r="A260" t="s">
        <v>258</v>
      </c>
      <c r="B260" t="s">
        <v>733</v>
      </c>
      <c r="C260" t="s">
        <v>447</v>
      </c>
      <c r="D260" t="s">
        <v>869</v>
      </c>
      <c r="E260" t="s">
        <v>1003</v>
      </c>
    </row>
    <row r="261" spans="1:5" x14ac:dyDescent="0.3">
      <c r="A261" t="s">
        <v>258</v>
      </c>
      <c r="B261" t="s">
        <v>734</v>
      </c>
      <c r="C261" t="s">
        <v>450</v>
      </c>
      <c r="D261" t="s">
        <v>870</v>
      </c>
      <c r="E261" t="s">
        <v>1004</v>
      </c>
    </row>
    <row r="262" spans="1:5" x14ac:dyDescent="0.3">
      <c r="A262" t="s">
        <v>258</v>
      </c>
      <c r="B262" t="s">
        <v>735</v>
      </c>
      <c r="C262" t="s">
        <v>453</v>
      </c>
      <c r="D262" t="s">
        <v>871</v>
      </c>
      <c r="E262" t="s">
        <v>1005</v>
      </c>
    </row>
    <row r="263" spans="1:5" x14ac:dyDescent="0.3">
      <c r="A263" t="s">
        <v>258</v>
      </c>
      <c r="B263" t="s">
        <v>736</v>
      </c>
      <c r="C263" t="s">
        <v>456</v>
      </c>
      <c r="D263" t="s">
        <v>872</v>
      </c>
      <c r="E263" t="s">
        <v>1006</v>
      </c>
    </row>
    <row r="264" spans="1:5" x14ac:dyDescent="0.3">
      <c r="A264" t="s">
        <v>258</v>
      </c>
      <c r="B264" t="s">
        <v>737</v>
      </c>
      <c r="C264" t="s">
        <v>459</v>
      </c>
      <c r="D264" t="s">
        <v>873</v>
      </c>
      <c r="E264" t="s">
        <v>1007</v>
      </c>
    </row>
    <row r="265" spans="1:5" x14ac:dyDescent="0.3">
      <c r="B265" t="s">
        <v>943</v>
      </c>
      <c r="D265" t="e">
        <v>#N/A</v>
      </c>
      <c r="E265" t="s">
        <v>943</v>
      </c>
    </row>
    <row r="266" spans="1:5" x14ac:dyDescent="0.3">
      <c r="A266" t="s">
        <v>258</v>
      </c>
      <c r="B266" t="s">
        <v>738</v>
      </c>
      <c r="C266" t="s">
        <v>462</v>
      </c>
      <c r="D266" t="s">
        <v>874</v>
      </c>
      <c r="E266" t="s">
        <v>1008</v>
      </c>
    </row>
    <row r="267" spans="1:5" x14ac:dyDescent="0.3">
      <c r="A267" t="s">
        <v>258</v>
      </c>
      <c r="B267" t="s">
        <v>739</v>
      </c>
      <c r="C267" t="s">
        <v>465</v>
      </c>
      <c r="D267" t="s">
        <v>875</v>
      </c>
      <c r="E267" t="s">
        <v>1009</v>
      </c>
    </row>
    <row r="268" spans="1:5" x14ac:dyDescent="0.3">
      <c r="A268" t="s">
        <v>258</v>
      </c>
      <c r="B268" t="s">
        <v>740</v>
      </c>
      <c r="C268" t="s">
        <v>468</v>
      </c>
      <c r="D268" t="s">
        <v>876</v>
      </c>
      <c r="E268" t="s">
        <v>1010</v>
      </c>
    </row>
    <row r="269" spans="1:5" x14ac:dyDescent="0.3">
      <c r="B269" t="s">
        <v>943</v>
      </c>
      <c r="D269" t="e">
        <v>#N/A</v>
      </c>
      <c r="E269" t="s">
        <v>943</v>
      </c>
    </row>
    <row r="270" spans="1:5" x14ac:dyDescent="0.3">
      <c r="A270" t="s">
        <v>258</v>
      </c>
      <c r="B270" t="s">
        <v>741</v>
      </c>
      <c r="C270" t="s">
        <v>471</v>
      </c>
      <c r="D270" t="s">
        <v>877</v>
      </c>
      <c r="E270" t="s">
        <v>1011</v>
      </c>
    </row>
    <row r="271" spans="1:5" x14ac:dyDescent="0.3">
      <c r="A271" t="s">
        <v>258</v>
      </c>
      <c r="B271" t="s">
        <v>742</v>
      </c>
      <c r="C271" t="s">
        <v>474</v>
      </c>
      <c r="D271" t="s">
        <v>878</v>
      </c>
      <c r="E271" t="s">
        <v>1012</v>
      </c>
    </row>
    <row r="272" spans="1:5" x14ac:dyDescent="0.3">
      <c r="A272" t="s">
        <v>258</v>
      </c>
      <c r="B272" t="s">
        <v>743</v>
      </c>
      <c r="C272" t="s">
        <v>477</v>
      </c>
      <c r="D272" t="s">
        <v>879</v>
      </c>
      <c r="E272" t="s">
        <v>1013</v>
      </c>
    </row>
    <row r="273" spans="1:5" x14ac:dyDescent="0.3">
      <c r="A273" t="s">
        <v>258</v>
      </c>
      <c r="B273" t="s">
        <v>744</v>
      </c>
      <c r="C273" t="s">
        <v>480</v>
      </c>
      <c r="D273" t="s">
        <v>880</v>
      </c>
      <c r="E273" t="s">
        <v>1014</v>
      </c>
    </row>
    <row r="274" spans="1:5" x14ac:dyDescent="0.3">
      <c r="A274" t="s">
        <v>258</v>
      </c>
      <c r="B274" t="s">
        <v>745</v>
      </c>
      <c r="C274" t="s">
        <v>483</v>
      </c>
      <c r="D274" t="s">
        <v>881</v>
      </c>
      <c r="E274" t="s">
        <v>1015</v>
      </c>
    </row>
    <row r="275" spans="1:5" x14ac:dyDescent="0.3">
      <c r="A275" t="s">
        <v>258</v>
      </c>
      <c r="B275" t="s">
        <v>746</v>
      </c>
      <c r="C275" t="s">
        <v>486</v>
      </c>
      <c r="D275" t="s">
        <v>882</v>
      </c>
      <c r="E275" t="s">
        <v>1016</v>
      </c>
    </row>
    <row r="276" spans="1:5" x14ac:dyDescent="0.3">
      <c r="A276" t="s">
        <v>258</v>
      </c>
      <c r="B276" t="s">
        <v>747</v>
      </c>
      <c r="C276" t="s">
        <v>489</v>
      </c>
      <c r="D276" t="s">
        <v>883</v>
      </c>
      <c r="E276" t="s">
        <v>1017</v>
      </c>
    </row>
    <row r="277" spans="1:5" x14ac:dyDescent="0.3">
      <c r="A277" t="s">
        <v>258</v>
      </c>
      <c r="B277" t="s">
        <v>748</v>
      </c>
      <c r="C277" t="s">
        <v>492</v>
      </c>
      <c r="D277" t="s">
        <v>884</v>
      </c>
      <c r="E277" t="s">
        <v>1018</v>
      </c>
    </row>
    <row r="278" spans="1:5" x14ac:dyDescent="0.3">
      <c r="B278" t="s">
        <v>943</v>
      </c>
      <c r="D278" t="e">
        <v>#N/A</v>
      </c>
      <c r="E278" t="s">
        <v>943</v>
      </c>
    </row>
    <row r="279" spans="1:5" x14ac:dyDescent="0.3">
      <c r="A279" t="s">
        <v>258</v>
      </c>
      <c r="B279" t="s">
        <v>749</v>
      </c>
      <c r="C279" t="s">
        <v>495</v>
      </c>
      <c r="D279" t="s">
        <v>885</v>
      </c>
      <c r="E279" t="s">
        <v>1019</v>
      </c>
    </row>
    <row r="280" spans="1:5" x14ac:dyDescent="0.3">
      <c r="B280" t="s">
        <v>943</v>
      </c>
      <c r="D280" t="e">
        <v>#N/A</v>
      </c>
      <c r="E280" t="s">
        <v>943</v>
      </c>
    </row>
    <row r="281" spans="1:5" x14ac:dyDescent="0.3">
      <c r="A281" t="s">
        <v>258</v>
      </c>
      <c r="B281" t="s">
        <v>750</v>
      </c>
      <c r="C281" t="s">
        <v>498</v>
      </c>
      <c r="D281" t="s">
        <v>886</v>
      </c>
      <c r="E281" t="s">
        <v>1020</v>
      </c>
    </row>
    <row r="282" spans="1:5" x14ac:dyDescent="0.3">
      <c r="A282" t="s">
        <v>258</v>
      </c>
      <c r="B282" t="s">
        <v>751</v>
      </c>
      <c r="C282" t="s">
        <v>501</v>
      </c>
      <c r="D282" t="s">
        <v>887</v>
      </c>
      <c r="E282" t="s">
        <v>1021</v>
      </c>
    </row>
    <row r="283" spans="1:5" x14ac:dyDescent="0.3">
      <c r="A283" t="s">
        <v>258</v>
      </c>
      <c r="B283" t="s">
        <v>752</v>
      </c>
      <c r="C283" t="s">
        <v>504</v>
      </c>
      <c r="D283" t="s">
        <v>888</v>
      </c>
      <c r="E283" t="s">
        <v>1022</v>
      </c>
    </row>
    <row r="284" spans="1:5" x14ac:dyDescent="0.3">
      <c r="A284" t="s">
        <v>258</v>
      </c>
      <c r="B284" t="s">
        <v>753</v>
      </c>
      <c r="C284" t="s">
        <v>507</v>
      </c>
      <c r="D284" t="s">
        <v>889</v>
      </c>
      <c r="E284" t="s">
        <v>1023</v>
      </c>
    </row>
    <row r="285" spans="1:5" x14ac:dyDescent="0.3">
      <c r="B285" t="s">
        <v>943</v>
      </c>
      <c r="D285" t="e">
        <v>#N/A</v>
      </c>
      <c r="E285" t="s">
        <v>943</v>
      </c>
    </row>
    <row r="286" spans="1:5" x14ac:dyDescent="0.3">
      <c r="A286" t="s">
        <v>258</v>
      </c>
      <c r="B286" t="s">
        <v>754</v>
      </c>
      <c r="C286" t="s">
        <v>510</v>
      </c>
      <c r="D286" t="s">
        <v>890</v>
      </c>
      <c r="E286" t="s">
        <v>1024</v>
      </c>
    </row>
    <row r="287" spans="1:5" x14ac:dyDescent="0.3">
      <c r="A287" t="s">
        <v>258</v>
      </c>
      <c r="B287" t="s">
        <v>755</v>
      </c>
      <c r="C287" t="s">
        <v>513</v>
      </c>
      <c r="D287" t="s">
        <v>891</v>
      </c>
      <c r="E287" t="s">
        <v>1025</v>
      </c>
    </row>
    <row r="288" spans="1:5" x14ac:dyDescent="0.3">
      <c r="B288" t="s">
        <v>943</v>
      </c>
      <c r="D288" t="e">
        <v>#N/A</v>
      </c>
      <c r="E288" t="s">
        <v>943</v>
      </c>
    </row>
    <row r="289" spans="1:5" x14ac:dyDescent="0.3">
      <c r="A289" t="s">
        <v>258</v>
      </c>
      <c r="B289" t="s">
        <v>756</v>
      </c>
      <c r="C289" t="s">
        <v>516</v>
      </c>
      <c r="D289" t="s">
        <v>892</v>
      </c>
      <c r="E289" t="s">
        <v>1026</v>
      </c>
    </row>
    <row r="290" spans="1:5" x14ac:dyDescent="0.3">
      <c r="B290" t="s">
        <v>943</v>
      </c>
      <c r="D290" t="e">
        <v>#N/A</v>
      </c>
      <c r="E290" t="s">
        <v>943</v>
      </c>
    </row>
    <row r="291" spans="1:5" x14ac:dyDescent="0.3">
      <c r="A291" t="s">
        <v>258</v>
      </c>
      <c r="B291" t="s">
        <v>757</v>
      </c>
      <c r="C291" t="s">
        <v>519</v>
      </c>
      <c r="D291" t="s">
        <v>893</v>
      </c>
      <c r="E291" t="s">
        <v>1027</v>
      </c>
    </row>
    <row r="292" spans="1:5" x14ac:dyDescent="0.3">
      <c r="A292" t="s">
        <v>258</v>
      </c>
      <c r="B292" t="s">
        <v>758</v>
      </c>
      <c r="C292" t="s">
        <v>522</v>
      </c>
      <c r="D292" t="s">
        <v>894</v>
      </c>
      <c r="E292" t="s">
        <v>1028</v>
      </c>
    </row>
    <row r="293" spans="1:5" x14ac:dyDescent="0.3">
      <c r="A293" t="s">
        <v>258</v>
      </c>
      <c r="B293" t="s">
        <v>759</v>
      </c>
      <c r="C293" t="s">
        <v>525</v>
      </c>
      <c r="D293" t="s">
        <v>895</v>
      </c>
      <c r="E293" t="s">
        <v>1029</v>
      </c>
    </row>
    <row r="294" spans="1:5" x14ac:dyDescent="0.3">
      <c r="A294" t="s">
        <v>258</v>
      </c>
      <c r="B294" t="s">
        <v>760</v>
      </c>
      <c r="C294" t="s">
        <v>528</v>
      </c>
      <c r="D294" t="s">
        <v>896</v>
      </c>
      <c r="E294" t="s">
        <v>1030</v>
      </c>
    </row>
    <row r="295" spans="1:5" x14ac:dyDescent="0.3">
      <c r="A295" t="s">
        <v>258</v>
      </c>
      <c r="B295" t="s">
        <v>761</v>
      </c>
      <c r="C295" t="s">
        <v>531</v>
      </c>
      <c r="D295" t="s">
        <v>897</v>
      </c>
      <c r="E295" t="s">
        <v>1031</v>
      </c>
    </row>
    <row r="296" spans="1:5" x14ac:dyDescent="0.3">
      <c r="A296" t="s">
        <v>258</v>
      </c>
      <c r="B296" t="s">
        <v>762</v>
      </c>
      <c r="C296" t="s">
        <v>534</v>
      </c>
      <c r="D296" t="s">
        <v>898</v>
      </c>
      <c r="E296" t="s">
        <v>1032</v>
      </c>
    </row>
    <row r="297" spans="1:5" x14ac:dyDescent="0.3">
      <c r="A297" t="s">
        <v>258</v>
      </c>
      <c r="B297" t="s">
        <v>763</v>
      </c>
      <c r="C297" t="s">
        <v>537</v>
      </c>
      <c r="D297" t="s">
        <v>899</v>
      </c>
      <c r="E297" t="s">
        <v>1033</v>
      </c>
    </row>
    <row r="298" spans="1:5" x14ac:dyDescent="0.3">
      <c r="A298" t="s">
        <v>258</v>
      </c>
      <c r="B298" t="s">
        <v>764</v>
      </c>
      <c r="C298" t="s">
        <v>540</v>
      </c>
      <c r="D298" t="s">
        <v>900</v>
      </c>
      <c r="E298" t="s">
        <v>1034</v>
      </c>
    </row>
    <row r="299" spans="1:5" x14ac:dyDescent="0.3">
      <c r="A299" t="s">
        <v>258</v>
      </c>
      <c r="B299" t="s">
        <v>765</v>
      </c>
      <c r="C299" t="s">
        <v>543</v>
      </c>
      <c r="D299" t="s">
        <v>901</v>
      </c>
      <c r="E299" t="s">
        <v>1035</v>
      </c>
    </row>
    <row r="300" spans="1:5" x14ac:dyDescent="0.3">
      <c r="A300" t="s">
        <v>258</v>
      </c>
      <c r="B300" t="s">
        <v>766</v>
      </c>
      <c r="C300" t="s">
        <v>546</v>
      </c>
      <c r="D300" t="s">
        <v>902</v>
      </c>
      <c r="E300" t="s">
        <v>1036</v>
      </c>
    </row>
    <row r="301" spans="1:5" x14ac:dyDescent="0.3">
      <c r="A301" t="s">
        <v>258</v>
      </c>
      <c r="B301" t="s">
        <v>767</v>
      </c>
      <c r="C301" t="s">
        <v>549</v>
      </c>
      <c r="D301" t="s">
        <v>903</v>
      </c>
      <c r="E301" t="s">
        <v>1037</v>
      </c>
    </row>
    <row r="302" spans="1:5" x14ac:dyDescent="0.3">
      <c r="A302" t="s">
        <v>258</v>
      </c>
      <c r="B302" t="s">
        <v>768</v>
      </c>
      <c r="C302" t="s">
        <v>1472</v>
      </c>
      <c r="D302" t="s">
        <v>904</v>
      </c>
      <c r="E302" t="s">
        <v>1038</v>
      </c>
    </row>
    <row r="303" spans="1:5" x14ac:dyDescent="0.3">
      <c r="B303" t="s">
        <v>943</v>
      </c>
      <c r="D303" t="e">
        <v>#N/A</v>
      </c>
      <c r="E303" t="s">
        <v>943</v>
      </c>
    </row>
    <row r="304" spans="1:5" x14ac:dyDescent="0.3">
      <c r="A304" t="s">
        <v>258</v>
      </c>
      <c r="B304" t="s">
        <v>769</v>
      </c>
      <c r="C304" t="s">
        <v>555</v>
      </c>
      <c r="D304" t="s">
        <v>905</v>
      </c>
      <c r="E304" t="s">
        <v>1039</v>
      </c>
    </row>
    <row r="305" spans="1:5" x14ac:dyDescent="0.3">
      <c r="B305" t="s">
        <v>943</v>
      </c>
      <c r="D305" t="e">
        <v>#N/A</v>
      </c>
      <c r="E305" t="s">
        <v>943</v>
      </c>
    </row>
    <row r="306" spans="1:5" x14ac:dyDescent="0.3">
      <c r="A306" t="s">
        <v>258</v>
      </c>
      <c r="B306" t="s">
        <v>770</v>
      </c>
      <c r="C306" t="s">
        <v>558</v>
      </c>
      <c r="D306" t="s">
        <v>906</v>
      </c>
      <c r="E306" t="s">
        <v>1040</v>
      </c>
    </row>
    <row r="307" spans="1:5" x14ac:dyDescent="0.3">
      <c r="A307" t="s">
        <v>258</v>
      </c>
      <c r="B307" t="s">
        <v>771</v>
      </c>
      <c r="C307" t="s">
        <v>561</v>
      </c>
      <c r="D307" t="s">
        <v>907</v>
      </c>
      <c r="E307" t="s">
        <v>1041</v>
      </c>
    </row>
    <row r="308" spans="1:5" x14ac:dyDescent="0.3">
      <c r="A308" t="s">
        <v>258</v>
      </c>
      <c r="B308" t="s">
        <v>772</v>
      </c>
      <c r="C308" t="s">
        <v>564</v>
      </c>
      <c r="D308" t="s">
        <v>908</v>
      </c>
      <c r="E308" t="s">
        <v>1042</v>
      </c>
    </row>
    <row r="309" spans="1:5" x14ac:dyDescent="0.3">
      <c r="A309" t="s">
        <v>258</v>
      </c>
      <c r="B309" t="s">
        <v>773</v>
      </c>
      <c r="C309" t="s">
        <v>567</v>
      </c>
      <c r="D309" t="s">
        <v>909</v>
      </c>
      <c r="E309" t="s">
        <v>1043</v>
      </c>
    </row>
    <row r="310" spans="1:5" x14ac:dyDescent="0.3">
      <c r="A310" t="s">
        <v>258</v>
      </c>
      <c r="B310" t="s">
        <v>774</v>
      </c>
      <c r="C310" t="s">
        <v>1471</v>
      </c>
      <c r="D310" t="s">
        <v>910</v>
      </c>
      <c r="E310" t="s">
        <v>1044</v>
      </c>
    </row>
    <row r="311" spans="1:5" x14ac:dyDescent="0.3">
      <c r="A311" t="s">
        <v>258</v>
      </c>
      <c r="B311" t="s">
        <v>775</v>
      </c>
      <c r="C311" t="s">
        <v>573</v>
      </c>
      <c r="D311" t="s">
        <v>911</v>
      </c>
      <c r="E311" t="s">
        <v>1045</v>
      </c>
    </row>
    <row r="312" spans="1:5" x14ac:dyDescent="0.3">
      <c r="A312" t="s">
        <v>258</v>
      </c>
      <c r="B312" t="s">
        <v>776</v>
      </c>
      <c r="C312" t="s">
        <v>576</v>
      </c>
      <c r="D312" t="s">
        <v>912</v>
      </c>
      <c r="E312" t="s">
        <v>1046</v>
      </c>
    </row>
    <row r="313" spans="1:5" x14ac:dyDescent="0.3">
      <c r="A313" t="s">
        <v>258</v>
      </c>
      <c r="B313" t="s">
        <v>777</v>
      </c>
      <c r="C313" t="s">
        <v>579</v>
      </c>
      <c r="D313" t="s">
        <v>913</v>
      </c>
      <c r="E313" t="s">
        <v>1047</v>
      </c>
    </row>
    <row r="314" spans="1:5" x14ac:dyDescent="0.3">
      <c r="A314" t="s">
        <v>258</v>
      </c>
      <c r="B314" t="s">
        <v>778</v>
      </c>
      <c r="C314" t="s">
        <v>582</v>
      </c>
      <c r="D314" t="s">
        <v>914</v>
      </c>
      <c r="E314" t="s">
        <v>1048</v>
      </c>
    </row>
    <row r="315" spans="1:5" x14ac:dyDescent="0.3">
      <c r="A315" t="s">
        <v>258</v>
      </c>
      <c r="B315" t="s">
        <v>779</v>
      </c>
      <c r="C315" t="s">
        <v>585</v>
      </c>
      <c r="D315" t="s">
        <v>915</v>
      </c>
      <c r="E315" t="s">
        <v>1049</v>
      </c>
    </row>
    <row r="316" spans="1:5" x14ac:dyDescent="0.3">
      <c r="A316" t="s">
        <v>258</v>
      </c>
      <c r="B316" t="s">
        <v>780</v>
      </c>
      <c r="C316" t="s">
        <v>588</v>
      </c>
      <c r="D316" t="s">
        <v>916</v>
      </c>
      <c r="E316" t="s">
        <v>1050</v>
      </c>
    </row>
    <row r="317" spans="1:5" x14ac:dyDescent="0.3">
      <c r="A317" t="s">
        <v>258</v>
      </c>
      <c r="B317" t="s">
        <v>781</v>
      </c>
      <c r="C317" t="s">
        <v>591</v>
      </c>
      <c r="D317" t="s">
        <v>917</v>
      </c>
      <c r="E317" t="s">
        <v>1051</v>
      </c>
    </row>
    <row r="318" spans="1:5" x14ac:dyDescent="0.3">
      <c r="A318" t="s">
        <v>258</v>
      </c>
      <c r="B318" t="s">
        <v>782</v>
      </c>
      <c r="C318" t="s">
        <v>594</v>
      </c>
      <c r="D318" t="s">
        <v>918</v>
      </c>
      <c r="E318" t="s">
        <v>1052</v>
      </c>
    </row>
    <row r="319" spans="1:5" x14ac:dyDescent="0.3">
      <c r="A319" t="s">
        <v>258</v>
      </c>
      <c r="B319" t="s">
        <v>783</v>
      </c>
      <c r="C319" t="s">
        <v>597</v>
      </c>
      <c r="D319" t="s">
        <v>919</v>
      </c>
      <c r="E319" t="s">
        <v>1053</v>
      </c>
    </row>
    <row r="320" spans="1:5" x14ac:dyDescent="0.3">
      <c r="A320" t="s">
        <v>258</v>
      </c>
      <c r="B320" t="s">
        <v>784</v>
      </c>
      <c r="C320" t="s">
        <v>600</v>
      </c>
      <c r="D320" t="s">
        <v>920</v>
      </c>
      <c r="E320" t="s">
        <v>1054</v>
      </c>
    </row>
    <row r="321" spans="1:5" x14ac:dyDescent="0.3">
      <c r="A321" t="s">
        <v>258</v>
      </c>
      <c r="B321" t="s">
        <v>785</v>
      </c>
      <c r="C321" t="s">
        <v>603</v>
      </c>
      <c r="D321" t="s">
        <v>921</v>
      </c>
      <c r="E321" t="s">
        <v>1055</v>
      </c>
    </row>
    <row r="322" spans="1:5" x14ac:dyDescent="0.3">
      <c r="A322" t="s">
        <v>258</v>
      </c>
      <c r="B322" t="s">
        <v>786</v>
      </c>
      <c r="C322" t="s">
        <v>606</v>
      </c>
      <c r="D322" t="s">
        <v>922</v>
      </c>
      <c r="E322" t="s">
        <v>1056</v>
      </c>
    </row>
    <row r="323" spans="1:5" x14ac:dyDescent="0.3">
      <c r="A323" t="s">
        <v>258</v>
      </c>
      <c r="B323" t="s">
        <v>787</v>
      </c>
      <c r="C323" t="s">
        <v>609</v>
      </c>
      <c r="D323" t="s">
        <v>923</v>
      </c>
      <c r="E323" t="s">
        <v>1057</v>
      </c>
    </row>
    <row r="324" spans="1:5" x14ac:dyDescent="0.3">
      <c r="B324" t="s">
        <v>943</v>
      </c>
      <c r="D324" t="e">
        <v>#N/A</v>
      </c>
      <c r="E324" t="s">
        <v>943</v>
      </c>
    </row>
    <row r="325" spans="1:5" x14ac:dyDescent="0.3">
      <c r="A325" t="s">
        <v>258</v>
      </c>
      <c r="B325" t="s">
        <v>788</v>
      </c>
      <c r="C325" t="s">
        <v>612</v>
      </c>
      <c r="D325" t="s">
        <v>924</v>
      </c>
      <c r="E325" t="s">
        <v>1058</v>
      </c>
    </row>
    <row r="326" spans="1:5" x14ac:dyDescent="0.3">
      <c r="A326" t="s">
        <v>258</v>
      </c>
      <c r="B326" t="s">
        <v>789</v>
      </c>
      <c r="C326" t="s">
        <v>615</v>
      </c>
      <c r="D326" t="s">
        <v>925</v>
      </c>
      <c r="E326" t="s">
        <v>1059</v>
      </c>
    </row>
    <row r="327" spans="1:5" x14ac:dyDescent="0.3">
      <c r="A327" t="s">
        <v>258</v>
      </c>
      <c r="B327" t="s">
        <v>790</v>
      </c>
      <c r="C327" t="s">
        <v>618</v>
      </c>
      <c r="D327" t="s">
        <v>926</v>
      </c>
      <c r="E327" t="s">
        <v>1060</v>
      </c>
    </row>
    <row r="328" spans="1:5" x14ac:dyDescent="0.3">
      <c r="B328" t="s">
        <v>943</v>
      </c>
      <c r="D328" t="e">
        <v>#N/A</v>
      </c>
      <c r="E328" t="s">
        <v>943</v>
      </c>
    </row>
    <row r="329" spans="1:5" x14ac:dyDescent="0.3">
      <c r="A329" t="s">
        <v>258</v>
      </c>
      <c r="B329" t="s">
        <v>791</v>
      </c>
      <c r="C329" t="s">
        <v>621</v>
      </c>
      <c r="D329" t="s">
        <v>927</v>
      </c>
      <c r="E329" t="s">
        <v>1061</v>
      </c>
    </row>
    <row r="330" spans="1:5" x14ac:dyDescent="0.3">
      <c r="A330" t="s">
        <v>258</v>
      </c>
      <c r="B330" t="s">
        <v>792</v>
      </c>
      <c r="C330" t="s">
        <v>624</v>
      </c>
      <c r="D330" t="s">
        <v>928</v>
      </c>
      <c r="E330" t="s">
        <v>1062</v>
      </c>
    </row>
    <row r="331" spans="1:5" x14ac:dyDescent="0.3">
      <c r="A331" t="s">
        <v>258</v>
      </c>
      <c r="B331" t="s">
        <v>793</v>
      </c>
      <c r="C331" t="s">
        <v>627</v>
      </c>
      <c r="D331" t="s">
        <v>929</v>
      </c>
      <c r="E331" t="s">
        <v>1063</v>
      </c>
    </row>
    <row r="332" spans="1:5" x14ac:dyDescent="0.3">
      <c r="B332" t="s">
        <v>943</v>
      </c>
      <c r="D332" t="e">
        <v>#N/A</v>
      </c>
      <c r="E332" t="s">
        <v>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3104-FC3C-41B2-88A4-1A783F86E6A7}">
  <dimension ref="A1:E211"/>
  <sheetViews>
    <sheetView topLeftCell="A192" workbookViewId="0">
      <selection activeCell="A2" sqref="A2:E211"/>
    </sheetView>
  </sheetViews>
  <sheetFormatPr defaultRowHeight="14.4" x14ac:dyDescent="0.3"/>
  <sheetData>
    <row r="1" spans="1:5" ht="28.8" x14ac:dyDescent="0.3">
      <c r="A1" s="4" t="s">
        <v>1116</v>
      </c>
      <c r="B1" s="4" t="s">
        <v>1117</v>
      </c>
      <c r="C1" s="4" t="s">
        <v>1469</v>
      </c>
      <c r="D1" s="4" t="s">
        <v>1118</v>
      </c>
      <c r="E1" s="4" t="s">
        <v>1470</v>
      </c>
    </row>
    <row r="2" spans="1:5" x14ac:dyDescent="0.3">
      <c r="A2" t="s">
        <v>1121</v>
      </c>
      <c r="B2" t="s">
        <v>1124</v>
      </c>
      <c r="C2" t="s">
        <v>1125</v>
      </c>
      <c r="D2" t="s">
        <v>805</v>
      </c>
      <c r="E2" t="s">
        <v>805</v>
      </c>
    </row>
    <row r="3" spans="1:5" x14ac:dyDescent="0.3">
      <c r="A3" t="s">
        <v>1121</v>
      </c>
      <c r="B3" t="s">
        <v>1126</v>
      </c>
      <c r="C3" t="s">
        <v>1127</v>
      </c>
      <c r="D3" t="s">
        <v>814</v>
      </c>
      <c r="E3" t="s">
        <v>814</v>
      </c>
    </row>
    <row r="4" spans="1:5" x14ac:dyDescent="0.3">
      <c r="A4" t="s">
        <v>1121</v>
      </c>
      <c r="B4" t="s">
        <v>1130</v>
      </c>
      <c r="C4" t="s">
        <v>5</v>
      </c>
      <c r="D4" t="s">
        <v>807</v>
      </c>
      <c r="E4" t="s">
        <v>942</v>
      </c>
    </row>
    <row r="5" spans="1:5" x14ac:dyDescent="0.3">
      <c r="A5" t="s">
        <v>1121</v>
      </c>
      <c r="B5" t="s">
        <v>1132</v>
      </c>
      <c r="C5" t="s">
        <v>8</v>
      </c>
      <c r="D5" t="s">
        <v>1474</v>
      </c>
      <c r="E5" t="s">
        <v>1133</v>
      </c>
    </row>
    <row r="6" spans="1:5" x14ac:dyDescent="0.3">
      <c r="A6" t="s">
        <v>1121</v>
      </c>
      <c r="B6" t="s">
        <v>1135</v>
      </c>
      <c r="C6" t="s">
        <v>1137</v>
      </c>
      <c r="D6" t="s">
        <v>1136</v>
      </c>
      <c r="E6" t="s">
        <v>1136</v>
      </c>
    </row>
    <row r="7" spans="1:5" x14ac:dyDescent="0.3">
      <c r="A7" t="s">
        <v>1121</v>
      </c>
      <c r="B7" t="s">
        <v>1138</v>
      </c>
      <c r="C7" t="s">
        <v>1139</v>
      </c>
      <c r="D7" t="s">
        <v>810</v>
      </c>
      <c r="E7" t="s">
        <v>810</v>
      </c>
    </row>
    <row r="8" spans="1:5" x14ac:dyDescent="0.3">
      <c r="A8" t="s">
        <v>1121</v>
      </c>
      <c r="B8" t="s">
        <v>1140</v>
      </c>
      <c r="C8" t="s">
        <v>15</v>
      </c>
      <c r="D8" t="s">
        <v>1475</v>
      </c>
      <c r="E8" t="s">
        <v>1141</v>
      </c>
    </row>
    <row r="9" spans="1:5" x14ac:dyDescent="0.3">
      <c r="A9" t="s">
        <v>1121</v>
      </c>
      <c r="B9" t="s">
        <v>1142</v>
      </c>
      <c r="C9" t="s">
        <v>1143</v>
      </c>
      <c r="D9" t="s">
        <v>812</v>
      </c>
      <c r="E9" t="s">
        <v>812</v>
      </c>
    </row>
    <row r="10" spans="1:5" x14ac:dyDescent="0.3">
      <c r="A10" t="s">
        <v>1121</v>
      </c>
      <c r="B10" t="s">
        <v>1144</v>
      </c>
      <c r="C10" t="s">
        <v>1146</v>
      </c>
      <c r="D10" t="s">
        <v>813</v>
      </c>
      <c r="E10" t="s">
        <v>1145</v>
      </c>
    </row>
    <row r="11" spans="1:5" x14ac:dyDescent="0.3">
      <c r="A11" t="s">
        <v>1121</v>
      </c>
      <c r="B11" t="s">
        <v>1147</v>
      </c>
      <c r="C11" t="s">
        <v>1149</v>
      </c>
      <c r="D11" t="s">
        <v>816</v>
      </c>
      <c r="E11" t="s">
        <v>1148</v>
      </c>
    </row>
    <row r="12" spans="1:5" x14ac:dyDescent="0.3">
      <c r="A12" t="s">
        <v>1121</v>
      </c>
      <c r="B12" t="s">
        <v>1152</v>
      </c>
      <c r="C12" t="s">
        <v>1154</v>
      </c>
      <c r="D12" t="s">
        <v>819</v>
      </c>
      <c r="E12" t="s">
        <v>1153</v>
      </c>
    </row>
    <row r="13" spans="1:5" x14ac:dyDescent="0.3">
      <c r="A13" t="s">
        <v>1121</v>
      </c>
      <c r="B13" t="s">
        <v>1155</v>
      </c>
      <c r="C13" t="s">
        <v>1157</v>
      </c>
      <c r="D13" t="s">
        <v>820</v>
      </c>
      <c r="E13" t="s">
        <v>1156</v>
      </c>
    </row>
    <row r="14" spans="1:5" x14ac:dyDescent="0.3">
      <c r="A14" t="s">
        <v>1121</v>
      </c>
      <c r="B14" t="s">
        <v>1158</v>
      </c>
      <c r="C14" t="s">
        <v>1160</v>
      </c>
      <c r="D14" t="s">
        <v>821</v>
      </c>
      <c r="E14" t="s">
        <v>1159</v>
      </c>
    </row>
    <row r="15" spans="1:5" x14ac:dyDescent="0.3">
      <c r="A15" t="s">
        <v>1121</v>
      </c>
      <c r="B15" t="s">
        <v>1161</v>
      </c>
      <c r="C15" t="s">
        <v>1163</v>
      </c>
      <c r="D15" t="s">
        <v>822</v>
      </c>
      <c r="E15" t="s">
        <v>1162</v>
      </c>
    </row>
    <row r="16" spans="1:5" x14ac:dyDescent="0.3">
      <c r="A16" t="s">
        <v>1121</v>
      </c>
      <c r="B16" t="s">
        <v>1164</v>
      </c>
      <c r="C16" t="s">
        <v>1166</v>
      </c>
      <c r="D16" t="s">
        <v>1476</v>
      </c>
      <c r="E16" t="s">
        <v>1165</v>
      </c>
    </row>
    <row r="17" spans="1:5" x14ac:dyDescent="0.3">
      <c r="A17" t="s">
        <v>1121</v>
      </c>
      <c r="B17" t="s">
        <v>1167</v>
      </c>
      <c r="C17" t="s">
        <v>1169</v>
      </c>
      <c r="D17" t="s">
        <v>1477</v>
      </c>
      <c r="E17" t="s">
        <v>1168</v>
      </c>
    </row>
    <row r="18" spans="1:5" x14ac:dyDescent="0.3">
      <c r="A18" t="s">
        <v>1121</v>
      </c>
      <c r="B18" t="s">
        <v>1170</v>
      </c>
      <c r="C18" t="s">
        <v>1172</v>
      </c>
      <c r="D18" t="s">
        <v>826</v>
      </c>
      <c r="E18" t="s">
        <v>1171</v>
      </c>
    </row>
    <row r="19" spans="1:5" x14ac:dyDescent="0.3">
      <c r="A19" t="s">
        <v>1121</v>
      </c>
      <c r="B19" t="s">
        <v>1173</v>
      </c>
      <c r="C19" t="s">
        <v>1175</v>
      </c>
      <c r="D19" t="s">
        <v>1478</v>
      </c>
      <c r="E19" t="s">
        <v>1174</v>
      </c>
    </row>
    <row r="20" spans="1:5" x14ac:dyDescent="0.3">
      <c r="A20" t="s">
        <v>1121</v>
      </c>
      <c r="B20" t="s">
        <v>1176</v>
      </c>
      <c r="C20" t="s">
        <v>1177</v>
      </c>
      <c r="D20" t="s">
        <v>831</v>
      </c>
      <c r="E20" t="s">
        <v>966</v>
      </c>
    </row>
    <row r="21" spans="1:5" x14ac:dyDescent="0.3">
      <c r="A21" t="s">
        <v>1121</v>
      </c>
      <c r="B21" t="s">
        <v>1178</v>
      </c>
      <c r="C21" t="s">
        <v>1179</v>
      </c>
      <c r="D21" t="s">
        <v>833</v>
      </c>
      <c r="E21" t="s">
        <v>968</v>
      </c>
    </row>
    <row r="22" spans="1:5" x14ac:dyDescent="0.3">
      <c r="A22" t="s">
        <v>1121</v>
      </c>
      <c r="B22" t="s">
        <v>1180</v>
      </c>
      <c r="C22" t="s">
        <v>1181</v>
      </c>
      <c r="D22" t="s">
        <v>834</v>
      </c>
      <c r="E22" t="s">
        <v>969</v>
      </c>
    </row>
    <row r="23" spans="1:5" x14ac:dyDescent="0.3">
      <c r="A23" t="s">
        <v>1121</v>
      </c>
      <c r="B23" t="s">
        <v>1182</v>
      </c>
      <c r="C23" t="s">
        <v>1183</v>
      </c>
      <c r="D23" t="s">
        <v>836</v>
      </c>
      <c r="E23" t="s">
        <v>971</v>
      </c>
    </row>
    <row r="24" spans="1:5" x14ac:dyDescent="0.3">
      <c r="A24" t="s">
        <v>1121</v>
      </c>
      <c r="B24" t="s">
        <v>1184</v>
      </c>
      <c r="C24" t="s">
        <v>1186</v>
      </c>
      <c r="D24" t="s">
        <v>837</v>
      </c>
      <c r="E24" t="s">
        <v>1185</v>
      </c>
    </row>
    <row r="25" spans="1:5" x14ac:dyDescent="0.3">
      <c r="A25" t="s">
        <v>1121</v>
      </c>
      <c r="B25" t="s">
        <v>1187</v>
      </c>
      <c r="C25" t="s">
        <v>1189</v>
      </c>
      <c r="D25" t="s">
        <v>1479</v>
      </c>
      <c r="E25" t="s">
        <v>1188</v>
      </c>
    </row>
    <row r="26" spans="1:5" x14ac:dyDescent="0.3">
      <c r="A26" t="s">
        <v>1121</v>
      </c>
      <c r="B26" t="s">
        <v>1190</v>
      </c>
      <c r="C26" t="s">
        <v>1191</v>
      </c>
      <c r="D26" t="s">
        <v>839</v>
      </c>
      <c r="E26" t="s">
        <v>974</v>
      </c>
    </row>
    <row r="27" spans="1:5" x14ac:dyDescent="0.3">
      <c r="A27" t="s">
        <v>1121</v>
      </c>
      <c r="B27" t="s">
        <v>1192</v>
      </c>
      <c r="C27" t="s">
        <v>1194</v>
      </c>
      <c r="D27" t="s">
        <v>1480</v>
      </c>
      <c r="E27" t="s">
        <v>1193</v>
      </c>
    </row>
    <row r="28" spans="1:5" x14ac:dyDescent="0.3">
      <c r="A28" t="s">
        <v>1121</v>
      </c>
      <c r="B28" t="s">
        <v>1195</v>
      </c>
      <c r="C28" t="s">
        <v>1197</v>
      </c>
      <c r="D28" t="s">
        <v>841</v>
      </c>
      <c r="E28" t="s">
        <v>1196</v>
      </c>
    </row>
    <row r="29" spans="1:5" x14ac:dyDescent="0.3">
      <c r="A29" t="s">
        <v>1121</v>
      </c>
      <c r="B29" t="s">
        <v>1198</v>
      </c>
      <c r="C29" t="s">
        <v>1200</v>
      </c>
      <c r="D29" t="s">
        <v>843</v>
      </c>
      <c r="E29" t="s">
        <v>1199</v>
      </c>
    </row>
    <row r="30" spans="1:5" x14ac:dyDescent="0.3">
      <c r="A30" t="s">
        <v>1121</v>
      </c>
      <c r="B30" t="s">
        <v>1201</v>
      </c>
      <c r="C30" t="s">
        <v>1202</v>
      </c>
      <c r="D30" t="s">
        <v>1481</v>
      </c>
      <c r="E30" t="s">
        <v>979</v>
      </c>
    </row>
    <row r="31" spans="1:5" x14ac:dyDescent="0.3">
      <c r="A31" t="s">
        <v>1121</v>
      </c>
      <c r="B31" t="s">
        <v>1203</v>
      </c>
      <c r="C31" t="s">
        <v>1204</v>
      </c>
      <c r="D31" t="s">
        <v>1482</v>
      </c>
      <c r="E31" t="s">
        <v>980</v>
      </c>
    </row>
    <row r="32" spans="1:5" x14ac:dyDescent="0.3">
      <c r="A32" t="s">
        <v>1121</v>
      </c>
      <c r="B32" t="s">
        <v>1205</v>
      </c>
      <c r="C32" t="s">
        <v>1207</v>
      </c>
      <c r="D32" t="s">
        <v>846</v>
      </c>
      <c r="E32" t="s">
        <v>1206</v>
      </c>
    </row>
    <row r="33" spans="1:5" x14ac:dyDescent="0.3">
      <c r="A33" t="s">
        <v>1121</v>
      </c>
      <c r="B33" t="s">
        <v>1208</v>
      </c>
      <c r="C33" t="s">
        <v>1210</v>
      </c>
      <c r="D33" t="s">
        <v>847</v>
      </c>
      <c r="E33" t="s">
        <v>1209</v>
      </c>
    </row>
    <row r="34" spans="1:5" x14ac:dyDescent="0.3">
      <c r="A34" t="s">
        <v>1121</v>
      </c>
      <c r="B34" t="s">
        <v>1211</v>
      </c>
      <c r="C34" t="s">
        <v>1213</v>
      </c>
      <c r="D34" t="s">
        <v>848</v>
      </c>
      <c r="E34" t="s">
        <v>1212</v>
      </c>
    </row>
    <row r="35" spans="1:5" x14ac:dyDescent="0.3">
      <c r="A35" t="s">
        <v>1121</v>
      </c>
      <c r="B35" t="s">
        <v>1214</v>
      </c>
      <c r="C35" t="s">
        <v>1215</v>
      </c>
      <c r="D35" t="s">
        <v>849</v>
      </c>
      <c r="E35" t="s">
        <v>849</v>
      </c>
    </row>
    <row r="36" spans="1:5" x14ac:dyDescent="0.3">
      <c r="A36" t="s">
        <v>1121</v>
      </c>
      <c r="B36" t="s">
        <v>1216</v>
      </c>
      <c r="C36" t="s">
        <v>1218</v>
      </c>
      <c r="D36" t="s">
        <v>1483</v>
      </c>
      <c r="E36" t="s">
        <v>1217</v>
      </c>
    </row>
    <row r="37" spans="1:5" x14ac:dyDescent="0.3">
      <c r="A37" t="s">
        <v>1121</v>
      </c>
      <c r="B37" t="s">
        <v>1219</v>
      </c>
      <c r="C37" t="s">
        <v>1220</v>
      </c>
      <c r="D37" t="s">
        <v>851</v>
      </c>
      <c r="E37" t="s">
        <v>985</v>
      </c>
    </row>
    <row r="38" spans="1:5" x14ac:dyDescent="0.3">
      <c r="A38" t="s">
        <v>1121</v>
      </c>
      <c r="B38" t="s">
        <v>1222</v>
      </c>
      <c r="C38" t="s">
        <v>1223</v>
      </c>
      <c r="D38" t="s">
        <v>852</v>
      </c>
      <c r="E38" t="s">
        <v>986</v>
      </c>
    </row>
    <row r="39" spans="1:5" x14ac:dyDescent="0.3">
      <c r="A39" t="s">
        <v>1121</v>
      </c>
      <c r="B39" t="s">
        <v>1225</v>
      </c>
      <c r="C39" t="s">
        <v>1226</v>
      </c>
      <c r="D39" t="s">
        <v>854</v>
      </c>
      <c r="E39" t="s">
        <v>988</v>
      </c>
    </row>
    <row r="40" spans="1:5" x14ac:dyDescent="0.3">
      <c r="A40" t="s">
        <v>1121</v>
      </c>
      <c r="B40" t="s">
        <v>1227</v>
      </c>
      <c r="C40" t="s">
        <v>1229</v>
      </c>
      <c r="D40" t="s">
        <v>1484</v>
      </c>
      <c r="E40" t="s">
        <v>1228</v>
      </c>
    </row>
    <row r="41" spans="1:5" x14ac:dyDescent="0.3">
      <c r="A41" t="s">
        <v>1121</v>
      </c>
      <c r="B41" t="s">
        <v>1230</v>
      </c>
      <c r="C41" t="s">
        <v>1231</v>
      </c>
      <c r="D41" t="s">
        <v>989</v>
      </c>
      <c r="E41" t="s">
        <v>989</v>
      </c>
    </row>
    <row r="42" spans="1:5" x14ac:dyDescent="0.3">
      <c r="A42" t="s">
        <v>1121</v>
      </c>
      <c r="B42" t="s">
        <v>1232</v>
      </c>
      <c r="C42" t="s">
        <v>1234</v>
      </c>
      <c r="D42" t="s">
        <v>1485</v>
      </c>
      <c r="E42" t="s">
        <v>1233</v>
      </c>
    </row>
    <row r="43" spans="1:5" x14ac:dyDescent="0.3">
      <c r="A43" t="s">
        <v>1121</v>
      </c>
      <c r="B43" t="s">
        <v>1235</v>
      </c>
      <c r="C43" t="s">
        <v>1237</v>
      </c>
      <c r="D43" t="s">
        <v>1486</v>
      </c>
      <c r="E43" t="s">
        <v>1236</v>
      </c>
    </row>
    <row r="44" spans="1:5" x14ac:dyDescent="0.3">
      <c r="A44" t="s">
        <v>1121</v>
      </c>
      <c r="B44" t="s">
        <v>1238</v>
      </c>
      <c r="C44" t="s">
        <v>1240</v>
      </c>
      <c r="D44" t="s">
        <v>1487</v>
      </c>
      <c r="E44" t="s">
        <v>1239</v>
      </c>
    </row>
    <row r="45" spans="1:5" x14ac:dyDescent="0.3">
      <c r="A45" t="s">
        <v>1121</v>
      </c>
      <c r="B45" t="s">
        <v>1241</v>
      </c>
      <c r="C45" t="s">
        <v>1243</v>
      </c>
      <c r="D45" t="s">
        <v>1488</v>
      </c>
      <c r="E45" t="s">
        <v>1242</v>
      </c>
    </row>
    <row r="46" spans="1:5" x14ac:dyDescent="0.3">
      <c r="A46" t="s">
        <v>1121</v>
      </c>
      <c r="B46" t="s">
        <v>1244</v>
      </c>
      <c r="C46" t="s">
        <v>1246</v>
      </c>
      <c r="D46" t="s">
        <v>1489</v>
      </c>
      <c r="E46" t="s">
        <v>1245</v>
      </c>
    </row>
    <row r="47" spans="1:5" x14ac:dyDescent="0.3">
      <c r="A47" t="s">
        <v>1121</v>
      </c>
      <c r="B47" t="s">
        <v>1247</v>
      </c>
      <c r="C47" t="s">
        <v>1248</v>
      </c>
      <c r="D47" t="s">
        <v>861</v>
      </c>
      <c r="E47" t="s">
        <v>995</v>
      </c>
    </row>
    <row r="48" spans="1:5" x14ac:dyDescent="0.3">
      <c r="A48" t="s">
        <v>1121</v>
      </c>
      <c r="B48" t="s">
        <v>1250</v>
      </c>
      <c r="C48" t="s">
        <v>1251</v>
      </c>
      <c r="D48" t="s">
        <v>862</v>
      </c>
      <c r="E48" t="s">
        <v>996</v>
      </c>
    </row>
    <row r="49" spans="1:5" x14ac:dyDescent="0.3">
      <c r="A49" t="s">
        <v>1121</v>
      </c>
      <c r="B49" t="s">
        <v>1253</v>
      </c>
      <c r="C49" t="s">
        <v>1254</v>
      </c>
      <c r="D49" t="s">
        <v>1490</v>
      </c>
      <c r="E49" t="s">
        <v>997</v>
      </c>
    </row>
    <row r="50" spans="1:5" x14ac:dyDescent="0.3">
      <c r="A50" t="s">
        <v>1121</v>
      </c>
      <c r="B50" t="s">
        <v>1255</v>
      </c>
      <c r="C50" t="s">
        <v>1257</v>
      </c>
      <c r="D50" t="s">
        <v>1491</v>
      </c>
      <c r="E50" t="s">
        <v>1256</v>
      </c>
    </row>
    <row r="51" spans="1:5" x14ac:dyDescent="0.3">
      <c r="A51" t="s">
        <v>1121</v>
      </c>
      <c r="B51" t="s">
        <v>1258</v>
      </c>
      <c r="C51" t="s">
        <v>1260</v>
      </c>
      <c r="D51" t="s">
        <v>1492</v>
      </c>
      <c r="E51" t="s">
        <v>1259</v>
      </c>
    </row>
    <row r="52" spans="1:5" x14ac:dyDescent="0.3">
      <c r="A52" t="s">
        <v>1121</v>
      </c>
      <c r="B52" t="s">
        <v>1261</v>
      </c>
      <c r="C52" t="s">
        <v>1263</v>
      </c>
      <c r="D52" t="s">
        <v>1493</v>
      </c>
      <c r="E52" t="s">
        <v>1262</v>
      </c>
    </row>
    <row r="53" spans="1:5" x14ac:dyDescent="0.3">
      <c r="A53" t="s">
        <v>1121</v>
      </c>
      <c r="B53" t="s">
        <v>1264</v>
      </c>
      <c r="C53" t="s">
        <v>1266</v>
      </c>
      <c r="D53" t="s">
        <v>1494</v>
      </c>
      <c r="E53" t="s">
        <v>1265</v>
      </c>
    </row>
    <row r="54" spans="1:5" x14ac:dyDescent="0.3">
      <c r="A54" t="s">
        <v>1121</v>
      </c>
      <c r="B54" t="s">
        <v>1267</v>
      </c>
      <c r="C54" t="s">
        <v>1269</v>
      </c>
      <c r="D54" t="s">
        <v>857</v>
      </c>
      <c r="E54" t="s">
        <v>1268</v>
      </c>
    </row>
    <row r="55" spans="1:5" x14ac:dyDescent="0.3">
      <c r="A55" t="s">
        <v>1121</v>
      </c>
      <c r="B55" t="s">
        <v>1270</v>
      </c>
      <c r="C55" t="s">
        <v>1272</v>
      </c>
      <c r="D55" t="s">
        <v>1495</v>
      </c>
      <c r="E55" t="s">
        <v>1271</v>
      </c>
    </row>
    <row r="56" spans="1:5" x14ac:dyDescent="0.3">
      <c r="A56" t="s">
        <v>1121</v>
      </c>
      <c r="B56" t="s">
        <v>1273</v>
      </c>
      <c r="C56" t="s">
        <v>1275</v>
      </c>
      <c r="D56" t="s">
        <v>1496</v>
      </c>
      <c r="E56" t="s">
        <v>1274</v>
      </c>
    </row>
    <row r="57" spans="1:5" x14ac:dyDescent="0.3">
      <c r="A57" t="s">
        <v>1121</v>
      </c>
      <c r="B57" t="s">
        <v>1276</v>
      </c>
      <c r="C57" t="s">
        <v>1277</v>
      </c>
      <c r="D57" t="s">
        <v>868</v>
      </c>
      <c r="E57" t="s">
        <v>1002</v>
      </c>
    </row>
    <row r="58" spans="1:5" x14ac:dyDescent="0.3">
      <c r="A58" t="s">
        <v>1121</v>
      </c>
      <c r="B58" t="s">
        <v>1278</v>
      </c>
      <c r="C58" t="s">
        <v>1279</v>
      </c>
      <c r="D58" t="s">
        <v>869</v>
      </c>
      <c r="E58" t="s">
        <v>1003</v>
      </c>
    </row>
    <row r="59" spans="1:5" x14ac:dyDescent="0.3">
      <c r="A59" t="s">
        <v>1121</v>
      </c>
      <c r="B59" t="s">
        <v>1280</v>
      </c>
      <c r="C59" t="s">
        <v>1282</v>
      </c>
      <c r="D59" t="s">
        <v>870</v>
      </c>
      <c r="E59" t="s">
        <v>1281</v>
      </c>
    </row>
    <row r="60" spans="1:5" x14ac:dyDescent="0.3">
      <c r="A60" t="s">
        <v>1121</v>
      </c>
      <c r="B60" t="s">
        <v>1283</v>
      </c>
      <c r="C60" t="s">
        <v>1284</v>
      </c>
      <c r="D60" t="s">
        <v>871</v>
      </c>
      <c r="E60" t="s">
        <v>1005</v>
      </c>
    </row>
    <row r="61" spans="1:5" x14ac:dyDescent="0.3">
      <c r="A61" t="s">
        <v>1121</v>
      </c>
      <c r="B61" t="s">
        <v>1285</v>
      </c>
      <c r="C61" t="s">
        <v>1286</v>
      </c>
      <c r="D61" t="s">
        <v>872</v>
      </c>
      <c r="E61" t="s">
        <v>1006</v>
      </c>
    </row>
    <row r="62" spans="1:5" x14ac:dyDescent="0.3">
      <c r="A62" t="s">
        <v>1121</v>
      </c>
      <c r="B62" t="s">
        <v>1287</v>
      </c>
      <c r="C62" t="s">
        <v>1288</v>
      </c>
      <c r="D62" t="s">
        <v>873</v>
      </c>
      <c r="E62" t="s">
        <v>1007</v>
      </c>
    </row>
    <row r="63" spans="1:5" x14ac:dyDescent="0.3">
      <c r="A63" t="s">
        <v>1121</v>
      </c>
      <c r="B63" t="s">
        <v>1289</v>
      </c>
      <c r="C63" t="s">
        <v>1291</v>
      </c>
      <c r="D63" t="s">
        <v>1497</v>
      </c>
      <c r="E63" t="s">
        <v>1290</v>
      </c>
    </row>
    <row r="64" spans="1:5" x14ac:dyDescent="0.3">
      <c r="A64" t="s">
        <v>1121</v>
      </c>
      <c r="B64" t="s">
        <v>1292</v>
      </c>
      <c r="C64" t="s">
        <v>1294</v>
      </c>
      <c r="D64" t="s">
        <v>1498</v>
      </c>
      <c r="E64" t="s">
        <v>1293</v>
      </c>
    </row>
    <row r="65" spans="1:5" x14ac:dyDescent="0.3">
      <c r="A65" t="s">
        <v>1121</v>
      </c>
      <c r="B65" t="s">
        <v>1295</v>
      </c>
      <c r="C65" t="s">
        <v>1297</v>
      </c>
      <c r="D65" t="s">
        <v>1499</v>
      </c>
      <c r="E65" t="s">
        <v>1296</v>
      </c>
    </row>
    <row r="66" spans="1:5" x14ac:dyDescent="0.3">
      <c r="A66" t="s">
        <v>1121</v>
      </c>
      <c r="B66" t="s">
        <v>1298</v>
      </c>
      <c r="C66" t="s">
        <v>1300</v>
      </c>
      <c r="D66" t="s">
        <v>1500</v>
      </c>
      <c r="E66" t="s">
        <v>1299</v>
      </c>
    </row>
    <row r="67" spans="1:5" x14ac:dyDescent="0.3">
      <c r="A67" t="s">
        <v>1121</v>
      </c>
      <c r="B67" t="s">
        <v>1301</v>
      </c>
      <c r="C67" t="s">
        <v>1303</v>
      </c>
      <c r="D67" t="s">
        <v>1501</v>
      </c>
      <c r="E67" t="s">
        <v>1302</v>
      </c>
    </row>
    <row r="68" spans="1:5" x14ac:dyDescent="0.3">
      <c r="A68" t="s">
        <v>1121</v>
      </c>
      <c r="B68" t="s">
        <v>1304</v>
      </c>
      <c r="C68" t="s">
        <v>1306</v>
      </c>
      <c r="D68" t="s">
        <v>1502</v>
      </c>
      <c r="E68" t="s">
        <v>1305</v>
      </c>
    </row>
    <row r="69" spans="1:5" x14ac:dyDescent="0.3">
      <c r="A69" t="s">
        <v>1121</v>
      </c>
      <c r="B69" t="s">
        <v>1307</v>
      </c>
      <c r="C69" t="s">
        <v>1308</v>
      </c>
      <c r="D69" t="s">
        <v>1503</v>
      </c>
      <c r="E69" t="s">
        <v>1018</v>
      </c>
    </row>
    <row r="70" spans="1:5" x14ac:dyDescent="0.3">
      <c r="A70" t="s">
        <v>1121</v>
      </c>
      <c r="B70" t="s">
        <v>1309</v>
      </c>
      <c r="C70" t="s">
        <v>1311</v>
      </c>
      <c r="D70" t="s">
        <v>1504</v>
      </c>
      <c r="E70" t="s">
        <v>1310</v>
      </c>
    </row>
    <row r="71" spans="1:5" x14ac:dyDescent="0.3">
      <c r="A71" t="s">
        <v>1121</v>
      </c>
      <c r="B71" t="s">
        <v>1312</v>
      </c>
      <c r="C71" t="s">
        <v>1314</v>
      </c>
      <c r="D71" t="s">
        <v>1505</v>
      </c>
      <c r="E71" t="s">
        <v>1313</v>
      </c>
    </row>
    <row r="72" spans="1:5" x14ac:dyDescent="0.3">
      <c r="A72" t="s">
        <v>1121</v>
      </c>
      <c r="B72" t="s">
        <v>1315</v>
      </c>
      <c r="C72" t="s">
        <v>1317</v>
      </c>
      <c r="D72" t="s">
        <v>885</v>
      </c>
      <c r="E72" t="s">
        <v>1316</v>
      </c>
    </row>
    <row r="73" spans="1:5" x14ac:dyDescent="0.3">
      <c r="A73" t="s">
        <v>1121</v>
      </c>
      <c r="B73" t="s">
        <v>1318</v>
      </c>
      <c r="C73" t="s">
        <v>1320</v>
      </c>
      <c r="D73" t="s">
        <v>1506</v>
      </c>
      <c r="E73" t="s">
        <v>1319</v>
      </c>
    </row>
    <row r="74" spans="1:5" x14ac:dyDescent="0.3">
      <c r="A74" t="s">
        <v>1121</v>
      </c>
      <c r="B74" t="s">
        <v>1321</v>
      </c>
      <c r="C74" t="s">
        <v>1322</v>
      </c>
      <c r="D74" t="s">
        <v>1507</v>
      </c>
      <c r="E74" t="s">
        <v>1024</v>
      </c>
    </row>
    <row r="75" spans="1:5" x14ac:dyDescent="0.3">
      <c r="A75" t="s">
        <v>1121</v>
      </c>
      <c r="B75" t="s">
        <v>1323</v>
      </c>
      <c r="C75" t="s">
        <v>1325</v>
      </c>
      <c r="D75" t="s">
        <v>1508</v>
      </c>
      <c r="E75" t="s">
        <v>1324</v>
      </c>
    </row>
    <row r="76" spans="1:5" x14ac:dyDescent="0.3">
      <c r="A76" t="s">
        <v>1121</v>
      </c>
      <c r="B76" t="s">
        <v>1326</v>
      </c>
      <c r="C76" t="s">
        <v>1328</v>
      </c>
      <c r="D76" t="s">
        <v>1509</v>
      </c>
      <c r="E76" t="s">
        <v>1327</v>
      </c>
    </row>
    <row r="77" spans="1:5" x14ac:dyDescent="0.3">
      <c r="A77" t="s">
        <v>1121</v>
      </c>
      <c r="B77" t="s">
        <v>1329</v>
      </c>
      <c r="C77" t="s">
        <v>1331</v>
      </c>
      <c r="D77" t="s">
        <v>1510</v>
      </c>
      <c r="E77" t="s">
        <v>1330</v>
      </c>
    </row>
    <row r="78" spans="1:5" x14ac:dyDescent="0.3">
      <c r="A78" t="s">
        <v>1121</v>
      </c>
      <c r="B78" t="s">
        <v>1332</v>
      </c>
      <c r="C78" t="s">
        <v>1334</v>
      </c>
      <c r="D78" t="s">
        <v>1511</v>
      </c>
      <c r="E78" t="s">
        <v>1333</v>
      </c>
    </row>
    <row r="79" spans="1:5" x14ac:dyDescent="0.3">
      <c r="A79" t="s">
        <v>1121</v>
      </c>
      <c r="B79" t="s">
        <v>1335</v>
      </c>
      <c r="C79" t="s">
        <v>1336</v>
      </c>
      <c r="D79" t="s">
        <v>1071</v>
      </c>
      <c r="E79" t="s">
        <v>1071</v>
      </c>
    </row>
    <row r="80" spans="1:5" x14ac:dyDescent="0.3">
      <c r="A80" t="s">
        <v>1121</v>
      </c>
      <c r="B80" t="s">
        <v>1337</v>
      </c>
      <c r="C80" t="s">
        <v>1339</v>
      </c>
      <c r="D80" t="s">
        <v>1512</v>
      </c>
      <c r="E80" t="s">
        <v>1338</v>
      </c>
    </row>
    <row r="81" spans="1:5" x14ac:dyDescent="0.3">
      <c r="A81" t="s">
        <v>1121</v>
      </c>
      <c r="B81" t="s">
        <v>1340</v>
      </c>
      <c r="C81" t="s">
        <v>1342</v>
      </c>
      <c r="D81" t="s">
        <v>1513</v>
      </c>
      <c r="E81" t="s">
        <v>1341</v>
      </c>
    </row>
    <row r="82" spans="1:5" x14ac:dyDescent="0.3">
      <c r="A82" t="s">
        <v>1121</v>
      </c>
      <c r="B82" t="s">
        <v>1343</v>
      </c>
      <c r="C82" t="s">
        <v>1345</v>
      </c>
      <c r="D82" t="s">
        <v>1514</v>
      </c>
      <c r="E82" t="s">
        <v>1344</v>
      </c>
    </row>
    <row r="83" spans="1:5" x14ac:dyDescent="0.3">
      <c r="A83" t="s">
        <v>1121</v>
      </c>
      <c r="B83" t="s">
        <v>1346</v>
      </c>
      <c r="C83" t="s">
        <v>1348</v>
      </c>
      <c r="D83" t="s">
        <v>1515</v>
      </c>
      <c r="E83" t="s">
        <v>1347</v>
      </c>
    </row>
    <row r="84" spans="1:5" x14ac:dyDescent="0.3">
      <c r="A84" t="s">
        <v>1121</v>
      </c>
      <c r="B84" t="s">
        <v>1349</v>
      </c>
      <c r="C84" t="s">
        <v>1351</v>
      </c>
      <c r="D84" t="s">
        <v>1516</v>
      </c>
      <c r="E84" t="s">
        <v>1350</v>
      </c>
    </row>
    <row r="85" spans="1:5" x14ac:dyDescent="0.3">
      <c r="A85" t="s">
        <v>1121</v>
      </c>
      <c r="B85" t="s">
        <v>1352</v>
      </c>
      <c r="C85" t="s">
        <v>1354</v>
      </c>
      <c r="D85" t="s">
        <v>929</v>
      </c>
      <c r="E85" t="s">
        <v>1353</v>
      </c>
    </row>
    <row r="86" spans="1:5" x14ac:dyDescent="0.3">
      <c r="A86" t="s">
        <v>1121</v>
      </c>
      <c r="B86" t="s">
        <v>1355</v>
      </c>
      <c r="C86" t="s">
        <v>1357</v>
      </c>
      <c r="D86" t="s">
        <v>1517</v>
      </c>
      <c r="E86" t="s">
        <v>1356</v>
      </c>
    </row>
    <row r="87" spans="1:5" x14ac:dyDescent="0.3">
      <c r="A87" t="s">
        <v>258</v>
      </c>
      <c r="B87" t="s">
        <v>669</v>
      </c>
      <c r="C87" t="s">
        <v>263</v>
      </c>
      <c r="D87" t="s">
        <v>805</v>
      </c>
      <c r="E87" t="s">
        <v>805</v>
      </c>
    </row>
    <row r="88" spans="1:5" x14ac:dyDescent="0.3">
      <c r="A88" t="s">
        <v>258</v>
      </c>
      <c r="B88" t="s">
        <v>670</v>
      </c>
      <c r="C88" t="s">
        <v>266</v>
      </c>
      <c r="D88" t="s">
        <v>806</v>
      </c>
      <c r="E88" t="s">
        <v>806</v>
      </c>
    </row>
    <row r="89" spans="1:5" x14ac:dyDescent="0.3">
      <c r="A89" t="s">
        <v>258</v>
      </c>
      <c r="B89" t="s">
        <v>671</v>
      </c>
      <c r="C89" t="s">
        <v>656</v>
      </c>
      <c r="D89" t="s">
        <v>807</v>
      </c>
      <c r="E89" t="s">
        <v>942</v>
      </c>
    </row>
    <row r="90" spans="1:5" x14ac:dyDescent="0.3">
      <c r="A90" t="s">
        <v>258</v>
      </c>
      <c r="B90" t="s">
        <v>672</v>
      </c>
      <c r="C90" t="s">
        <v>271</v>
      </c>
      <c r="D90" t="s">
        <v>808</v>
      </c>
      <c r="E90" t="s">
        <v>944</v>
      </c>
    </row>
    <row r="91" spans="1:5" x14ac:dyDescent="0.3">
      <c r="A91" t="s">
        <v>258</v>
      </c>
      <c r="B91" t="s">
        <v>673</v>
      </c>
      <c r="C91" t="s">
        <v>658</v>
      </c>
      <c r="D91" t="s">
        <v>809</v>
      </c>
      <c r="E91" t="s">
        <v>945</v>
      </c>
    </row>
    <row r="92" spans="1:5" x14ac:dyDescent="0.3">
      <c r="A92" t="s">
        <v>258</v>
      </c>
      <c r="B92" t="s">
        <v>674</v>
      </c>
      <c r="C92" t="s">
        <v>276</v>
      </c>
      <c r="D92" t="s">
        <v>810</v>
      </c>
      <c r="E92" t="s">
        <v>810</v>
      </c>
    </row>
    <row r="93" spans="1:5" x14ac:dyDescent="0.3">
      <c r="A93" t="s">
        <v>258</v>
      </c>
      <c r="B93" t="s">
        <v>675</v>
      </c>
      <c r="C93" t="s">
        <v>279</v>
      </c>
      <c r="D93" t="s">
        <v>811</v>
      </c>
      <c r="E93" t="s">
        <v>946</v>
      </c>
    </row>
    <row r="94" spans="1:5" x14ac:dyDescent="0.3">
      <c r="A94" t="s">
        <v>258</v>
      </c>
      <c r="B94" t="s">
        <v>676</v>
      </c>
      <c r="C94" t="s">
        <v>282</v>
      </c>
      <c r="D94" t="s">
        <v>812</v>
      </c>
      <c r="E94" t="s">
        <v>947</v>
      </c>
    </row>
    <row r="95" spans="1:5" x14ac:dyDescent="0.3">
      <c r="A95" t="s">
        <v>258</v>
      </c>
      <c r="B95" t="s">
        <v>677</v>
      </c>
      <c r="C95" t="s">
        <v>285</v>
      </c>
      <c r="D95" t="s">
        <v>813</v>
      </c>
      <c r="E95" t="s">
        <v>948</v>
      </c>
    </row>
    <row r="96" spans="1:5" x14ac:dyDescent="0.3">
      <c r="A96" t="s">
        <v>258</v>
      </c>
      <c r="B96" t="s">
        <v>678</v>
      </c>
      <c r="C96" t="s">
        <v>288</v>
      </c>
      <c r="D96" t="s">
        <v>814</v>
      </c>
      <c r="E96" t="s">
        <v>949</v>
      </c>
    </row>
    <row r="97" spans="1:5" x14ac:dyDescent="0.3">
      <c r="A97" t="s">
        <v>258</v>
      </c>
      <c r="B97" t="s">
        <v>679</v>
      </c>
      <c r="C97" t="s">
        <v>291</v>
      </c>
      <c r="D97" t="s">
        <v>815</v>
      </c>
      <c r="E97" t="s">
        <v>950</v>
      </c>
    </row>
    <row r="98" spans="1:5" x14ac:dyDescent="0.3">
      <c r="A98" t="s">
        <v>258</v>
      </c>
      <c r="B98" t="s">
        <v>680</v>
      </c>
      <c r="C98" t="s">
        <v>660</v>
      </c>
      <c r="D98" t="s">
        <v>816</v>
      </c>
      <c r="E98" t="s">
        <v>951</v>
      </c>
    </row>
    <row r="99" spans="1:5" x14ac:dyDescent="0.3">
      <c r="A99" t="s">
        <v>258</v>
      </c>
      <c r="B99" t="s">
        <v>681</v>
      </c>
      <c r="C99" t="s">
        <v>662</v>
      </c>
      <c r="D99" t="s">
        <v>817</v>
      </c>
      <c r="E99" t="s">
        <v>952</v>
      </c>
    </row>
    <row r="100" spans="1:5" x14ac:dyDescent="0.3">
      <c r="A100" t="s">
        <v>258</v>
      </c>
      <c r="B100" t="s">
        <v>682</v>
      </c>
      <c r="C100" t="s">
        <v>298</v>
      </c>
      <c r="D100" t="s">
        <v>818</v>
      </c>
      <c r="E100" t="s">
        <v>953</v>
      </c>
    </row>
    <row r="101" spans="1:5" x14ac:dyDescent="0.3">
      <c r="A101" t="s">
        <v>258</v>
      </c>
      <c r="B101" t="s">
        <v>683</v>
      </c>
      <c r="C101" t="s">
        <v>301</v>
      </c>
      <c r="D101" t="s">
        <v>819</v>
      </c>
      <c r="E101" t="s">
        <v>954</v>
      </c>
    </row>
    <row r="102" spans="1:5" x14ac:dyDescent="0.3">
      <c r="A102" t="s">
        <v>258</v>
      </c>
      <c r="B102" t="s">
        <v>684</v>
      </c>
      <c r="C102" t="s">
        <v>304</v>
      </c>
      <c r="D102" t="s">
        <v>820</v>
      </c>
      <c r="E102" t="s">
        <v>955</v>
      </c>
    </row>
    <row r="103" spans="1:5" x14ac:dyDescent="0.3">
      <c r="A103" t="s">
        <v>258</v>
      </c>
      <c r="B103" t="s">
        <v>685</v>
      </c>
      <c r="C103" t="s">
        <v>307</v>
      </c>
      <c r="D103" t="s">
        <v>821</v>
      </c>
      <c r="E103" t="s">
        <v>956</v>
      </c>
    </row>
    <row r="104" spans="1:5" x14ac:dyDescent="0.3">
      <c r="A104" t="s">
        <v>258</v>
      </c>
      <c r="B104" t="s">
        <v>686</v>
      </c>
      <c r="C104" t="s">
        <v>310</v>
      </c>
      <c r="D104" t="s">
        <v>822</v>
      </c>
      <c r="E104" t="s">
        <v>957</v>
      </c>
    </row>
    <row r="105" spans="1:5" x14ac:dyDescent="0.3">
      <c r="A105" t="s">
        <v>258</v>
      </c>
      <c r="B105" t="s">
        <v>687</v>
      </c>
      <c r="C105" t="s">
        <v>664</v>
      </c>
      <c r="D105" t="s">
        <v>823</v>
      </c>
      <c r="E105" t="s">
        <v>958</v>
      </c>
    </row>
    <row r="106" spans="1:5" x14ac:dyDescent="0.3">
      <c r="A106" t="s">
        <v>258</v>
      </c>
      <c r="B106" t="s">
        <v>688</v>
      </c>
      <c r="C106" t="s">
        <v>666</v>
      </c>
      <c r="D106" t="s">
        <v>824</v>
      </c>
      <c r="E106" t="s">
        <v>959</v>
      </c>
    </row>
    <row r="107" spans="1:5" x14ac:dyDescent="0.3">
      <c r="A107" t="s">
        <v>258</v>
      </c>
      <c r="B107" t="s">
        <v>689</v>
      </c>
      <c r="C107" t="s">
        <v>317</v>
      </c>
      <c r="D107" t="s">
        <v>825</v>
      </c>
      <c r="E107" t="s">
        <v>960</v>
      </c>
    </row>
    <row r="108" spans="1:5" x14ac:dyDescent="0.3">
      <c r="A108" t="s">
        <v>258</v>
      </c>
      <c r="B108" t="s">
        <v>690</v>
      </c>
      <c r="C108" t="s">
        <v>667</v>
      </c>
      <c r="D108" t="s">
        <v>826</v>
      </c>
      <c r="E108" t="s">
        <v>961</v>
      </c>
    </row>
    <row r="109" spans="1:5" x14ac:dyDescent="0.3">
      <c r="A109" t="s">
        <v>258</v>
      </c>
      <c r="B109" t="s">
        <v>691</v>
      </c>
      <c r="C109" t="s">
        <v>321</v>
      </c>
      <c r="D109" t="s">
        <v>827</v>
      </c>
      <c r="E109" t="s">
        <v>962</v>
      </c>
    </row>
    <row r="110" spans="1:5" x14ac:dyDescent="0.3">
      <c r="A110" t="s">
        <v>258</v>
      </c>
      <c r="B110" t="s">
        <v>692</v>
      </c>
      <c r="C110" t="s">
        <v>324</v>
      </c>
      <c r="D110" t="s">
        <v>828</v>
      </c>
      <c r="E110" t="s">
        <v>963</v>
      </c>
    </row>
    <row r="111" spans="1:5" x14ac:dyDescent="0.3">
      <c r="A111" t="s">
        <v>258</v>
      </c>
      <c r="B111" t="s">
        <v>693</v>
      </c>
      <c r="C111" t="s">
        <v>327</v>
      </c>
      <c r="D111" t="s">
        <v>829</v>
      </c>
      <c r="E111" t="s">
        <v>964</v>
      </c>
    </row>
    <row r="112" spans="1:5" x14ac:dyDescent="0.3">
      <c r="A112" t="s">
        <v>258</v>
      </c>
      <c r="B112" t="s">
        <v>694</v>
      </c>
      <c r="C112" t="s">
        <v>330</v>
      </c>
      <c r="D112" t="s">
        <v>830</v>
      </c>
      <c r="E112" t="s">
        <v>965</v>
      </c>
    </row>
    <row r="113" spans="1:5" x14ac:dyDescent="0.3">
      <c r="A113" t="s">
        <v>258</v>
      </c>
      <c r="B113" t="s">
        <v>695</v>
      </c>
      <c r="C113" t="s">
        <v>333</v>
      </c>
      <c r="D113" t="s">
        <v>831</v>
      </c>
      <c r="E113" t="s">
        <v>966</v>
      </c>
    </row>
    <row r="114" spans="1:5" x14ac:dyDescent="0.3">
      <c r="A114" t="s">
        <v>258</v>
      </c>
      <c r="B114" t="s">
        <v>696</v>
      </c>
      <c r="C114" t="s">
        <v>336</v>
      </c>
      <c r="D114" t="s">
        <v>832</v>
      </c>
      <c r="E114" t="s">
        <v>967</v>
      </c>
    </row>
    <row r="115" spans="1:5" x14ac:dyDescent="0.3">
      <c r="A115" t="s">
        <v>258</v>
      </c>
      <c r="B115" t="s">
        <v>697</v>
      </c>
      <c r="C115" t="s">
        <v>339</v>
      </c>
      <c r="D115" t="s">
        <v>833</v>
      </c>
      <c r="E115" t="s">
        <v>968</v>
      </c>
    </row>
    <row r="116" spans="1:5" x14ac:dyDescent="0.3">
      <c r="A116" t="s">
        <v>258</v>
      </c>
      <c r="B116" t="s">
        <v>698</v>
      </c>
      <c r="C116" t="s">
        <v>342</v>
      </c>
      <c r="D116" t="s">
        <v>834</v>
      </c>
      <c r="E116" t="s">
        <v>969</v>
      </c>
    </row>
    <row r="117" spans="1:5" x14ac:dyDescent="0.3">
      <c r="A117" t="s">
        <v>258</v>
      </c>
      <c r="B117" t="s">
        <v>699</v>
      </c>
      <c r="C117" t="s">
        <v>345</v>
      </c>
      <c r="D117" t="s">
        <v>835</v>
      </c>
      <c r="E117" t="s">
        <v>970</v>
      </c>
    </row>
    <row r="118" spans="1:5" x14ac:dyDescent="0.3">
      <c r="A118" t="s">
        <v>258</v>
      </c>
      <c r="B118" t="s">
        <v>700</v>
      </c>
      <c r="C118" t="s">
        <v>348</v>
      </c>
      <c r="D118" t="s">
        <v>836</v>
      </c>
      <c r="E118" t="s">
        <v>971</v>
      </c>
    </row>
    <row r="119" spans="1:5" x14ac:dyDescent="0.3">
      <c r="A119" t="s">
        <v>258</v>
      </c>
      <c r="B119" t="s">
        <v>701</v>
      </c>
      <c r="C119" t="s">
        <v>351</v>
      </c>
      <c r="D119" t="s">
        <v>837</v>
      </c>
      <c r="E119" t="s">
        <v>972</v>
      </c>
    </row>
    <row r="120" spans="1:5" x14ac:dyDescent="0.3">
      <c r="A120" t="s">
        <v>258</v>
      </c>
      <c r="B120" t="s">
        <v>702</v>
      </c>
      <c r="C120" t="s">
        <v>354</v>
      </c>
      <c r="D120" t="s">
        <v>838</v>
      </c>
      <c r="E120" t="s">
        <v>973</v>
      </c>
    </row>
    <row r="121" spans="1:5" x14ac:dyDescent="0.3">
      <c r="A121" t="s">
        <v>258</v>
      </c>
      <c r="B121" t="s">
        <v>703</v>
      </c>
      <c r="C121" t="s">
        <v>357</v>
      </c>
      <c r="D121" t="s">
        <v>839</v>
      </c>
      <c r="E121" t="s">
        <v>974</v>
      </c>
    </row>
    <row r="122" spans="1:5" x14ac:dyDescent="0.3">
      <c r="A122" t="s">
        <v>258</v>
      </c>
      <c r="B122" t="s">
        <v>704</v>
      </c>
      <c r="C122" t="s">
        <v>360</v>
      </c>
      <c r="D122" t="s">
        <v>840</v>
      </c>
      <c r="E122" t="s">
        <v>975</v>
      </c>
    </row>
    <row r="123" spans="1:5" x14ac:dyDescent="0.3">
      <c r="A123" t="s">
        <v>258</v>
      </c>
      <c r="B123" t="s">
        <v>705</v>
      </c>
      <c r="C123" t="s">
        <v>363</v>
      </c>
      <c r="D123" t="s">
        <v>841</v>
      </c>
      <c r="E123" t="s">
        <v>976</v>
      </c>
    </row>
    <row r="124" spans="1:5" x14ac:dyDescent="0.3">
      <c r="A124" t="s">
        <v>258</v>
      </c>
      <c r="B124" t="s">
        <v>706</v>
      </c>
      <c r="C124" t="s">
        <v>366</v>
      </c>
      <c r="D124" t="s">
        <v>842</v>
      </c>
      <c r="E124" t="s">
        <v>977</v>
      </c>
    </row>
    <row r="125" spans="1:5" x14ac:dyDescent="0.3">
      <c r="A125" t="s">
        <v>258</v>
      </c>
      <c r="B125" t="s">
        <v>707</v>
      </c>
      <c r="C125" t="s">
        <v>369</v>
      </c>
      <c r="D125" t="s">
        <v>843</v>
      </c>
      <c r="E125" t="s">
        <v>978</v>
      </c>
    </row>
    <row r="126" spans="1:5" x14ac:dyDescent="0.3">
      <c r="A126" t="s">
        <v>258</v>
      </c>
      <c r="B126" t="s">
        <v>708</v>
      </c>
      <c r="C126" t="s">
        <v>372</v>
      </c>
      <c r="D126" t="s">
        <v>844</v>
      </c>
      <c r="E126" t="s">
        <v>979</v>
      </c>
    </row>
    <row r="127" spans="1:5" x14ac:dyDescent="0.3">
      <c r="A127" t="s">
        <v>258</v>
      </c>
      <c r="B127" t="s">
        <v>709</v>
      </c>
      <c r="C127" t="s">
        <v>375</v>
      </c>
      <c r="D127" t="s">
        <v>845</v>
      </c>
      <c r="E127" t="s">
        <v>980</v>
      </c>
    </row>
    <row r="128" spans="1:5" x14ac:dyDescent="0.3">
      <c r="A128" t="s">
        <v>258</v>
      </c>
      <c r="B128" t="s">
        <v>710</v>
      </c>
      <c r="C128" t="s">
        <v>378</v>
      </c>
      <c r="D128" t="s">
        <v>846</v>
      </c>
      <c r="E128" t="s">
        <v>981</v>
      </c>
    </row>
    <row r="129" spans="1:5" x14ac:dyDescent="0.3">
      <c r="A129" t="s">
        <v>258</v>
      </c>
      <c r="B129" t="s">
        <v>711</v>
      </c>
      <c r="C129" t="s">
        <v>381</v>
      </c>
      <c r="D129" t="s">
        <v>847</v>
      </c>
      <c r="E129" t="s">
        <v>982</v>
      </c>
    </row>
    <row r="130" spans="1:5" x14ac:dyDescent="0.3">
      <c r="A130" t="s">
        <v>258</v>
      </c>
      <c r="B130" t="s">
        <v>712</v>
      </c>
      <c r="C130" t="s">
        <v>384</v>
      </c>
      <c r="D130" t="s">
        <v>848</v>
      </c>
      <c r="E130" t="s">
        <v>983</v>
      </c>
    </row>
    <row r="131" spans="1:5" x14ac:dyDescent="0.3">
      <c r="A131" t="s">
        <v>258</v>
      </c>
      <c r="B131" t="s">
        <v>713</v>
      </c>
      <c r="C131" t="s">
        <v>387</v>
      </c>
      <c r="D131" t="s">
        <v>849</v>
      </c>
      <c r="E131" t="s">
        <v>849</v>
      </c>
    </row>
    <row r="132" spans="1:5" x14ac:dyDescent="0.3">
      <c r="A132" t="s">
        <v>258</v>
      </c>
      <c r="B132" t="s">
        <v>714</v>
      </c>
      <c r="C132" t="s">
        <v>390</v>
      </c>
      <c r="D132" t="s">
        <v>850</v>
      </c>
      <c r="E132" t="s">
        <v>984</v>
      </c>
    </row>
    <row r="133" spans="1:5" x14ac:dyDescent="0.3">
      <c r="A133" t="s">
        <v>258</v>
      </c>
      <c r="B133" t="s">
        <v>715</v>
      </c>
      <c r="C133" t="s">
        <v>393</v>
      </c>
      <c r="D133" t="s">
        <v>851</v>
      </c>
      <c r="E133" t="s">
        <v>985</v>
      </c>
    </row>
    <row r="134" spans="1:5" x14ac:dyDescent="0.3">
      <c r="A134" t="s">
        <v>258</v>
      </c>
      <c r="B134" t="s">
        <v>716</v>
      </c>
      <c r="C134" t="s">
        <v>396</v>
      </c>
      <c r="D134" t="s">
        <v>852</v>
      </c>
      <c r="E134" t="s">
        <v>986</v>
      </c>
    </row>
    <row r="135" spans="1:5" x14ac:dyDescent="0.3">
      <c r="A135" t="s">
        <v>258</v>
      </c>
      <c r="B135" t="s">
        <v>717</v>
      </c>
      <c r="C135" t="s">
        <v>399</v>
      </c>
      <c r="D135" t="s">
        <v>853</v>
      </c>
      <c r="E135" t="s">
        <v>987</v>
      </c>
    </row>
    <row r="136" spans="1:5" x14ac:dyDescent="0.3">
      <c r="A136" t="s">
        <v>258</v>
      </c>
      <c r="B136" t="s">
        <v>718</v>
      </c>
      <c r="C136" t="s">
        <v>402</v>
      </c>
      <c r="D136" t="s">
        <v>854</v>
      </c>
      <c r="E136" t="s">
        <v>988</v>
      </c>
    </row>
    <row r="137" spans="1:5" x14ac:dyDescent="0.3">
      <c r="A137" t="s">
        <v>258</v>
      </c>
      <c r="B137" t="s">
        <v>719</v>
      </c>
      <c r="C137" t="s">
        <v>405</v>
      </c>
      <c r="D137" t="s">
        <v>855</v>
      </c>
      <c r="E137" t="s">
        <v>989</v>
      </c>
    </row>
    <row r="138" spans="1:5" x14ac:dyDescent="0.3">
      <c r="A138" t="s">
        <v>258</v>
      </c>
      <c r="B138" t="s">
        <v>720</v>
      </c>
      <c r="C138" t="s">
        <v>408</v>
      </c>
      <c r="D138" t="s">
        <v>856</v>
      </c>
      <c r="E138" t="s">
        <v>990</v>
      </c>
    </row>
    <row r="139" spans="1:5" x14ac:dyDescent="0.3">
      <c r="A139" t="s">
        <v>258</v>
      </c>
      <c r="B139" t="s">
        <v>721</v>
      </c>
      <c r="C139" t="s">
        <v>411</v>
      </c>
      <c r="D139" t="s">
        <v>857</v>
      </c>
      <c r="E139" t="s">
        <v>991</v>
      </c>
    </row>
    <row r="140" spans="1:5" x14ac:dyDescent="0.3">
      <c r="A140" t="s">
        <v>258</v>
      </c>
      <c r="B140" t="s">
        <v>722</v>
      </c>
      <c r="C140" t="s">
        <v>414</v>
      </c>
      <c r="D140" t="s">
        <v>858</v>
      </c>
      <c r="E140" t="s">
        <v>992</v>
      </c>
    </row>
    <row r="141" spans="1:5" x14ac:dyDescent="0.3">
      <c r="A141" t="s">
        <v>258</v>
      </c>
      <c r="B141" t="s">
        <v>723</v>
      </c>
      <c r="C141" t="s">
        <v>417</v>
      </c>
      <c r="D141" t="s">
        <v>859</v>
      </c>
      <c r="E141" t="s">
        <v>993</v>
      </c>
    </row>
    <row r="142" spans="1:5" x14ac:dyDescent="0.3">
      <c r="A142" t="s">
        <v>258</v>
      </c>
      <c r="B142" t="s">
        <v>724</v>
      </c>
      <c r="C142" t="s">
        <v>420</v>
      </c>
      <c r="D142" t="s">
        <v>860</v>
      </c>
      <c r="E142" t="s">
        <v>994</v>
      </c>
    </row>
    <row r="143" spans="1:5" x14ac:dyDescent="0.3">
      <c r="A143" t="s">
        <v>258</v>
      </c>
      <c r="B143" t="s">
        <v>725</v>
      </c>
      <c r="C143" t="s">
        <v>423</v>
      </c>
      <c r="D143" t="s">
        <v>861</v>
      </c>
      <c r="E143" t="s">
        <v>995</v>
      </c>
    </row>
    <row r="144" spans="1:5" x14ac:dyDescent="0.3">
      <c r="A144" t="s">
        <v>258</v>
      </c>
      <c r="B144" t="s">
        <v>726</v>
      </c>
      <c r="C144" t="s">
        <v>426</v>
      </c>
      <c r="D144" t="s">
        <v>862</v>
      </c>
      <c r="E144" t="s">
        <v>996</v>
      </c>
    </row>
    <row r="145" spans="1:5" x14ac:dyDescent="0.3">
      <c r="A145" t="s">
        <v>258</v>
      </c>
      <c r="B145" t="s">
        <v>727</v>
      </c>
      <c r="C145" t="s">
        <v>429</v>
      </c>
      <c r="D145" t="s">
        <v>863</v>
      </c>
      <c r="E145" t="s">
        <v>997</v>
      </c>
    </row>
    <row r="146" spans="1:5" x14ac:dyDescent="0.3">
      <c r="A146" t="s">
        <v>258</v>
      </c>
      <c r="B146" t="s">
        <v>728</v>
      </c>
      <c r="C146" t="s">
        <v>432</v>
      </c>
      <c r="D146" t="s">
        <v>864</v>
      </c>
      <c r="E146" t="s">
        <v>998</v>
      </c>
    </row>
    <row r="147" spans="1:5" x14ac:dyDescent="0.3">
      <c r="A147" t="s">
        <v>258</v>
      </c>
      <c r="B147" t="s">
        <v>729</v>
      </c>
      <c r="C147" t="s">
        <v>435</v>
      </c>
      <c r="D147" t="s">
        <v>865</v>
      </c>
      <c r="E147" t="s">
        <v>999</v>
      </c>
    </row>
    <row r="148" spans="1:5" x14ac:dyDescent="0.3">
      <c r="A148" t="s">
        <v>258</v>
      </c>
      <c r="B148" t="s">
        <v>730</v>
      </c>
      <c r="C148" t="s">
        <v>1473</v>
      </c>
      <c r="D148" t="s">
        <v>866</v>
      </c>
      <c r="E148" t="s">
        <v>1000</v>
      </c>
    </row>
    <row r="149" spans="1:5" x14ac:dyDescent="0.3">
      <c r="A149" t="s">
        <v>258</v>
      </c>
      <c r="B149" t="s">
        <v>731</v>
      </c>
      <c r="C149" t="s">
        <v>441</v>
      </c>
      <c r="D149" t="s">
        <v>867</v>
      </c>
      <c r="E149" t="s">
        <v>1001</v>
      </c>
    </row>
    <row r="150" spans="1:5" x14ac:dyDescent="0.3">
      <c r="A150" t="s">
        <v>258</v>
      </c>
      <c r="B150" t="s">
        <v>732</v>
      </c>
      <c r="C150" t="s">
        <v>444</v>
      </c>
      <c r="D150" t="s">
        <v>868</v>
      </c>
      <c r="E150" t="s">
        <v>1002</v>
      </c>
    </row>
    <row r="151" spans="1:5" x14ac:dyDescent="0.3">
      <c r="A151" t="s">
        <v>258</v>
      </c>
      <c r="B151" t="s">
        <v>733</v>
      </c>
      <c r="C151" t="s">
        <v>447</v>
      </c>
      <c r="D151" t="s">
        <v>869</v>
      </c>
      <c r="E151" t="s">
        <v>1003</v>
      </c>
    </row>
    <row r="152" spans="1:5" x14ac:dyDescent="0.3">
      <c r="A152" t="s">
        <v>258</v>
      </c>
      <c r="B152" t="s">
        <v>734</v>
      </c>
      <c r="C152" t="s">
        <v>450</v>
      </c>
      <c r="D152" t="s">
        <v>870</v>
      </c>
      <c r="E152" t="s">
        <v>1004</v>
      </c>
    </row>
    <row r="153" spans="1:5" x14ac:dyDescent="0.3">
      <c r="A153" t="s">
        <v>258</v>
      </c>
      <c r="B153" t="s">
        <v>735</v>
      </c>
      <c r="C153" t="s">
        <v>453</v>
      </c>
      <c r="D153" t="s">
        <v>871</v>
      </c>
      <c r="E153" t="s">
        <v>1005</v>
      </c>
    </row>
    <row r="154" spans="1:5" x14ac:dyDescent="0.3">
      <c r="A154" t="s">
        <v>258</v>
      </c>
      <c r="B154" t="s">
        <v>736</v>
      </c>
      <c r="C154" t="s">
        <v>456</v>
      </c>
      <c r="D154" t="s">
        <v>872</v>
      </c>
      <c r="E154" t="s">
        <v>1006</v>
      </c>
    </row>
    <row r="155" spans="1:5" x14ac:dyDescent="0.3">
      <c r="A155" t="s">
        <v>258</v>
      </c>
      <c r="B155" t="s">
        <v>737</v>
      </c>
      <c r="C155" t="s">
        <v>459</v>
      </c>
      <c r="D155" t="s">
        <v>873</v>
      </c>
      <c r="E155" t="s">
        <v>1007</v>
      </c>
    </row>
    <row r="156" spans="1:5" x14ac:dyDescent="0.3">
      <c r="A156" t="s">
        <v>258</v>
      </c>
      <c r="B156" t="s">
        <v>738</v>
      </c>
      <c r="C156" t="s">
        <v>462</v>
      </c>
      <c r="D156" t="s">
        <v>874</v>
      </c>
      <c r="E156" t="s">
        <v>1008</v>
      </c>
    </row>
    <row r="157" spans="1:5" x14ac:dyDescent="0.3">
      <c r="A157" t="s">
        <v>258</v>
      </c>
      <c r="B157" t="s">
        <v>739</v>
      </c>
      <c r="C157" t="s">
        <v>465</v>
      </c>
      <c r="D157" t="s">
        <v>875</v>
      </c>
      <c r="E157" t="s">
        <v>1009</v>
      </c>
    </row>
    <row r="158" spans="1:5" x14ac:dyDescent="0.3">
      <c r="A158" t="s">
        <v>258</v>
      </c>
      <c r="B158" t="s">
        <v>740</v>
      </c>
      <c r="C158" t="s">
        <v>468</v>
      </c>
      <c r="D158" t="s">
        <v>876</v>
      </c>
      <c r="E158" t="s">
        <v>1010</v>
      </c>
    </row>
    <row r="159" spans="1:5" x14ac:dyDescent="0.3">
      <c r="A159" t="s">
        <v>258</v>
      </c>
      <c r="B159" t="s">
        <v>741</v>
      </c>
      <c r="C159" t="s">
        <v>471</v>
      </c>
      <c r="D159" t="s">
        <v>877</v>
      </c>
      <c r="E159" t="s">
        <v>1011</v>
      </c>
    </row>
    <row r="160" spans="1:5" x14ac:dyDescent="0.3">
      <c r="A160" t="s">
        <v>258</v>
      </c>
      <c r="B160" t="s">
        <v>742</v>
      </c>
      <c r="C160" t="s">
        <v>474</v>
      </c>
      <c r="D160" t="s">
        <v>878</v>
      </c>
      <c r="E160" t="s">
        <v>1012</v>
      </c>
    </row>
    <row r="161" spans="1:5" x14ac:dyDescent="0.3">
      <c r="A161" t="s">
        <v>258</v>
      </c>
      <c r="B161" t="s">
        <v>743</v>
      </c>
      <c r="C161" t="s">
        <v>477</v>
      </c>
      <c r="D161" t="s">
        <v>879</v>
      </c>
      <c r="E161" t="s">
        <v>1013</v>
      </c>
    </row>
    <row r="162" spans="1:5" x14ac:dyDescent="0.3">
      <c r="A162" t="s">
        <v>258</v>
      </c>
      <c r="B162" t="s">
        <v>744</v>
      </c>
      <c r="C162" t="s">
        <v>480</v>
      </c>
      <c r="D162" t="s">
        <v>880</v>
      </c>
      <c r="E162" t="s">
        <v>1014</v>
      </c>
    </row>
    <row r="163" spans="1:5" x14ac:dyDescent="0.3">
      <c r="A163" t="s">
        <v>258</v>
      </c>
      <c r="B163" t="s">
        <v>745</v>
      </c>
      <c r="C163" t="s">
        <v>483</v>
      </c>
      <c r="D163" t="s">
        <v>881</v>
      </c>
      <c r="E163" t="s">
        <v>1015</v>
      </c>
    </row>
    <row r="164" spans="1:5" x14ac:dyDescent="0.3">
      <c r="A164" t="s">
        <v>258</v>
      </c>
      <c r="B164" t="s">
        <v>746</v>
      </c>
      <c r="C164" t="s">
        <v>486</v>
      </c>
      <c r="D164" t="s">
        <v>882</v>
      </c>
      <c r="E164" t="s">
        <v>1016</v>
      </c>
    </row>
    <row r="165" spans="1:5" x14ac:dyDescent="0.3">
      <c r="A165" t="s">
        <v>258</v>
      </c>
      <c r="B165" t="s">
        <v>747</v>
      </c>
      <c r="C165" t="s">
        <v>489</v>
      </c>
      <c r="D165" t="s">
        <v>883</v>
      </c>
      <c r="E165" t="s">
        <v>1017</v>
      </c>
    </row>
    <row r="166" spans="1:5" x14ac:dyDescent="0.3">
      <c r="A166" t="s">
        <v>258</v>
      </c>
      <c r="B166" t="s">
        <v>748</v>
      </c>
      <c r="C166" t="s">
        <v>492</v>
      </c>
      <c r="D166" t="s">
        <v>884</v>
      </c>
      <c r="E166" t="s">
        <v>1018</v>
      </c>
    </row>
    <row r="167" spans="1:5" x14ac:dyDescent="0.3">
      <c r="A167" t="s">
        <v>258</v>
      </c>
      <c r="B167" t="s">
        <v>749</v>
      </c>
      <c r="C167" t="s">
        <v>495</v>
      </c>
      <c r="D167" t="s">
        <v>885</v>
      </c>
      <c r="E167" t="s">
        <v>1019</v>
      </c>
    </row>
    <row r="168" spans="1:5" x14ac:dyDescent="0.3">
      <c r="A168" t="s">
        <v>258</v>
      </c>
      <c r="B168" t="s">
        <v>750</v>
      </c>
      <c r="C168" t="s">
        <v>498</v>
      </c>
      <c r="D168" t="s">
        <v>886</v>
      </c>
      <c r="E168" t="s">
        <v>1020</v>
      </c>
    </row>
    <row r="169" spans="1:5" x14ac:dyDescent="0.3">
      <c r="A169" t="s">
        <v>258</v>
      </c>
      <c r="B169" t="s">
        <v>751</v>
      </c>
      <c r="C169" t="s">
        <v>501</v>
      </c>
      <c r="D169" t="s">
        <v>887</v>
      </c>
      <c r="E169" t="s">
        <v>1021</v>
      </c>
    </row>
    <row r="170" spans="1:5" x14ac:dyDescent="0.3">
      <c r="A170" t="s">
        <v>258</v>
      </c>
      <c r="B170" t="s">
        <v>752</v>
      </c>
      <c r="C170" t="s">
        <v>504</v>
      </c>
      <c r="D170" t="s">
        <v>888</v>
      </c>
      <c r="E170" t="s">
        <v>1022</v>
      </c>
    </row>
    <row r="171" spans="1:5" x14ac:dyDescent="0.3">
      <c r="A171" t="s">
        <v>258</v>
      </c>
      <c r="B171" t="s">
        <v>753</v>
      </c>
      <c r="C171" t="s">
        <v>507</v>
      </c>
      <c r="D171" t="s">
        <v>889</v>
      </c>
      <c r="E171" t="s">
        <v>1023</v>
      </c>
    </row>
    <row r="172" spans="1:5" x14ac:dyDescent="0.3">
      <c r="A172" t="s">
        <v>258</v>
      </c>
      <c r="B172" t="s">
        <v>754</v>
      </c>
      <c r="C172" t="s">
        <v>510</v>
      </c>
      <c r="D172" t="s">
        <v>890</v>
      </c>
      <c r="E172" t="s">
        <v>1024</v>
      </c>
    </row>
    <row r="173" spans="1:5" x14ac:dyDescent="0.3">
      <c r="A173" t="s">
        <v>258</v>
      </c>
      <c r="B173" t="s">
        <v>755</v>
      </c>
      <c r="C173" t="s">
        <v>513</v>
      </c>
      <c r="D173" t="s">
        <v>891</v>
      </c>
      <c r="E173" t="s">
        <v>1025</v>
      </c>
    </row>
    <row r="174" spans="1:5" x14ac:dyDescent="0.3">
      <c r="A174" t="s">
        <v>258</v>
      </c>
      <c r="B174" t="s">
        <v>756</v>
      </c>
      <c r="C174" t="s">
        <v>516</v>
      </c>
      <c r="D174" t="s">
        <v>892</v>
      </c>
      <c r="E174" t="s">
        <v>1026</v>
      </c>
    </row>
    <row r="175" spans="1:5" x14ac:dyDescent="0.3">
      <c r="A175" t="s">
        <v>258</v>
      </c>
      <c r="B175" t="s">
        <v>757</v>
      </c>
      <c r="C175" t="s">
        <v>519</v>
      </c>
      <c r="D175" t="s">
        <v>893</v>
      </c>
      <c r="E175" t="s">
        <v>1027</v>
      </c>
    </row>
    <row r="176" spans="1:5" x14ac:dyDescent="0.3">
      <c r="A176" t="s">
        <v>258</v>
      </c>
      <c r="B176" t="s">
        <v>758</v>
      </c>
      <c r="C176" t="s">
        <v>522</v>
      </c>
      <c r="D176" t="s">
        <v>894</v>
      </c>
      <c r="E176" t="s">
        <v>1028</v>
      </c>
    </row>
    <row r="177" spans="1:5" x14ac:dyDescent="0.3">
      <c r="A177" t="s">
        <v>258</v>
      </c>
      <c r="B177" t="s">
        <v>759</v>
      </c>
      <c r="C177" t="s">
        <v>525</v>
      </c>
      <c r="D177" t="s">
        <v>895</v>
      </c>
      <c r="E177" t="s">
        <v>1029</v>
      </c>
    </row>
    <row r="178" spans="1:5" x14ac:dyDescent="0.3">
      <c r="A178" t="s">
        <v>258</v>
      </c>
      <c r="B178" t="s">
        <v>760</v>
      </c>
      <c r="C178" t="s">
        <v>528</v>
      </c>
      <c r="D178" t="s">
        <v>896</v>
      </c>
      <c r="E178" t="s">
        <v>1030</v>
      </c>
    </row>
    <row r="179" spans="1:5" x14ac:dyDescent="0.3">
      <c r="A179" t="s">
        <v>258</v>
      </c>
      <c r="B179" t="s">
        <v>761</v>
      </c>
      <c r="C179" t="s">
        <v>531</v>
      </c>
      <c r="D179" t="s">
        <v>897</v>
      </c>
      <c r="E179" t="s">
        <v>1031</v>
      </c>
    </row>
    <row r="180" spans="1:5" x14ac:dyDescent="0.3">
      <c r="A180" t="s">
        <v>258</v>
      </c>
      <c r="B180" t="s">
        <v>762</v>
      </c>
      <c r="C180" t="s">
        <v>534</v>
      </c>
      <c r="D180" t="s">
        <v>898</v>
      </c>
      <c r="E180" t="s">
        <v>1032</v>
      </c>
    </row>
    <row r="181" spans="1:5" x14ac:dyDescent="0.3">
      <c r="A181" t="s">
        <v>258</v>
      </c>
      <c r="B181" t="s">
        <v>763</v>
      </c>
      <c r="C181" t="s">
        <v>537</v>
      </c>
      <c r="D181" t="s">
        <v>899</v>
      </c>
      <c r="E181" t="s">
        <v>1033</v>
      </c>
    </row>
    <row r="182" spans="1:5" x14ac:dyDescent="0.3">
      <c r="A182" t="s">
        <v>258</v>
      </c>
      <c r="B182" t="s">
        <v>764</v>
      </c>
      <c r="C182" t="s">
        <v>540</v>
      </c>
      <c r="D182" t="s">
        <v>900</v>
      </c>
      <c r="E182" t="s">
        <v>1034</v>
      </c>
    </row>
    <row r="183" spans="1:5" x14ac:dyDescent="0.3">
      <c r="A183" t="s">
        <v>258</v>
      </c>
      <c r="B183" t="s">
        <v>765</v>
      </c>
      <c r="C183" t="s">
        <v>543</v>
      </c>
      <c r="D183" t="s">
        <v>901</v>
      </c>
      <c r="E183" t="s">
        <v>1035</v>
      </c>
    </row>
    <row r="184" spans="1:5" x14ac:dyDescent="0.3">
      <c r="A184" t="s">
        <v>258</v>
      </c>
      <c r="B184" t="s">
        <v>766</v>
      </c>
      <c r="C184" t="s">
        <v>546</v>
      </c>
      <c r="D184" t="s">
        <v>902</v>
      </c>
      <c r="E184" t="s">
        <v>1036</v>
      </c>
    </row>
    <row r="185" spans="1:5" x14ac:dyDescent="0.3">
      <c r="A185" t="s">
        <v>258</v>
      </c>
      <c r="B185" t="s">
        <v>767</v>
      </c>
      <c r="C185" t="s">
        <v>549</v>
      </c>
      <c r="D185" t="s">
        <v>903</v>
      </c>
      <c r="E185" t="s">
        <v>1037</v>
      </c>
    </row>
    <row r="186" spans="1:5" x14ac:dyDescent="0.3">
      <c r="A186" t="s">
        <v>258</v>
      </c>
      <c r="B186" t="s">
        <v>768</v>
      </c>
      <c r="C186" t="s">
        <v>1472</v>
      </c>
      <c r="D186" t="s">
        <v>904</v>
      </c>
      <c r="E186" t="s">
        <v>1038</v>
      </c>
    </row>
    <row r="187" spans="1:5" x14ac:dyDescent="0.3">
      <c r="A187" t="s">
        <v>258</v>
      </c>
      <c r="B187" t="s">
        <v>769</v>
      </c>
      <c r="C187" t="s">
        <v>555</v>
      </c>
      <c r="D187" t="s">
        <v>905</v>
      </c>
      <c r="E187" t="s">
        <v>1039</v>
      </c>
    </row>
    <row r="188" spans="1:5" x14ac:dyDescent="0.3">
      <c r="A188" t="s">
        <v>258</v>
      </c>
      <c r="B188" t="s">
        <v>770</v>
      </c>
      <c r="C188" t="s">
        <v>558</v>
      </c>
      <c r="D188" t="s">
        <v>906</v>
      </c>
      <c r="E188" t="s">
        <v>1040</v>
      </c>
    </row>
    <row r="189" spans="1:5" x14ac:dyDescent="0.3">
      <c r="A189" t="s">
        <v>258</v>
      </c>
      <c r="B189" t="s">
        <v>771</v>
      </c>
      <c r="C189" t="s">
        <v>561</v>
      </c>
      <c r="D189" t="s">
        <v>907</v>
      </c>
      <c r="E189" t="s">
        <v>1041</v>
      </c>
    </row>
    <row r="190" spans="1:5" x14ac:dyDescent="0.3">
      <c r="A190" t="s">
        <v>258</v>
      </c>
      <c r="B190" t="s">
        <v>772</v>
      </c>
      <c r="C190" t="s">
        <v>564</v>
      </c>
      <c r="D190" t="s">
        <v>908</v>
      </c>
      <c r="E190" t="s">
        <v>1042</v>
      </c>
    </row>
    <row r="191" spans="1:5" x14ac:dyDescent="0.3">
      <c r="A191" t="s">
        <v>258</v>
      </c>
      <c r="B191" t="s">
        <v>773</v>
      </c>
      <c r="C191" t="s">
        <v>567</v>
      </c>
      <c r="D191" t="s">
        <v>909</v>
      </c>
      <c r="E191" t="s">
        <v>1043</v>
      </c>
    </row>
    <row r="192" spans="1:5" x14ac:dyDescent="0.3">
      <c r="A192" t="s">
        <v>258</v>
      </c>
      <c r="B192" t="s">
        <v>774</v>
      </c>
      <c r="C192" t="s">
        <v>1471</v>
      </c>
      <c r="D192" t="s">
        <v>910</v>
      </c>
      <c r="E192" t="s">
        <v>1044</v>
      </c>
    </row>
    <row r="193" spans="1:5" x14ac:dyDescent="0.3">
      <c r="A193" t="s">
        <v>258</v>
      </c>
      <c r="B193" t="s">
        <v>775</v>
      </c>
      <c r="C193" t="s">
        <v>573</v>
      </c>
      <c r="D193" t="s">
        <v>911</v>
      </c>
      <c r="E193" t="s">
        <v>1045</v>
      </c>
    </row>
    <row r="194" spans="1:5" x14ac:dyDescent="0.3">
      <c r="A194" t="s">
        <v>258</v>
      </c>
      <c r="B194" t="s">
        <v>776</v>
      </c>
      <c r="C194" t="s">
        <v>576</v>
      </c>
      <c r="D194" t="s">
        <v>912</v>
      </c>
      <c r="E194" t="s">
        <v>1046</v>
      </c>
    </row>
    <row r="195" spans="1:5" x14ac:dyDescent="0.3">
      <c r="A195" t="s">
        <v>258</v>
      </c>
      <c r="B195" t="s">
        <v>777</v>
      </c>
      <c r="C195" t="s">
        <v>579</v>
      </c>
      <c r="D195" t="s">
        <v>913</v>
      </c>
      <c r="E195" t="s">
        <v>1047</v>
      </c>
    </row>
    <row r="196" spans="1:5" x14ac:dyDescent="0.3">
      <c r="A196" t="s">
        <v>258</v>
      </c>
      <c r="B196" t="s">
        <v>778</v>
      </c>
      <c r="C196" t="s">
        <v>582</v>
      </c>
      <c r="D196" t="s">
        <v>914</v>
      </c>
      <c r="E196" t="s">
        <v>1048</v>
      </c>
    </row>
    <row r="197" spans="1:5" x14ac:dyDescent="0.3">
      <c r="A197" t="s">
        <v>258</v>
      </c>
      <c r="B197" t="s">
        <v>779</v>
      </c>
      <c r="C197" t="s">
        <v>585</v>
      </c>
      <c r="D197" t="s">
        <v>915</v>
      </c>
      <c r="E197" t="s">
        <v>1049</v>
      </c>
    </row>
    <row r="198" spans="1:5" x14ac:dyDescent="0.3">
      <c r="A198" t="s">
        <v>258</v>
      </c>
      <c r="B198" t="s">
        <v>780</v>
      </c>
      <c r="C198" t="s">
        <v>588</v>
      </c>
      <c r="D198" t="s">
        <v>916</v>
      </c>
      <c r="E198" t="s">
        <v>1050</v>
      </c>
    </row>
    <row r="199" spans="1:5" x14ac:dyDescent="0.3">
      <c r="A199" t="s">
        <v>258</v>
      </c>
      <c r="B199" t="s">
        <v>781</v>
      </c>
      <c r="C199" t="s">
        <v>591</v>
      </c>
      <c r="D199" t="s">
        <v>917</v>
      </c>
      <c r="E199" t="s">
        <v>1051</v>
      </c>
    </row>
    <row r="200" spans="1:5" x14ac:dyDescent="0.3">
      <c r="A200" t="s">
        <v>258</v>
      </c>
      <c r="B200" t="s">
        <v>782</v>
      </c>
      <c r="C200" t="s">
        <v>594</v>
      </c>
      <c r="D200" t="s">
        <v>918</v>
      </c>
      <c r="E200" t="s">
        <v>1052</v>
      </c>
    </row>
    <row r="201" spans="1:5" x14ac:dyDescent="0.3">
      <c r="A201" t="s">
        <v>258</v>
      </c>
      <c r="B201" t="s">
        <v>783</v>
      </c>
      <c r="C201" t="s">
        <v>597</v>
      </c>
      <c r="D201" t="s">
        <v>919</v>
      </c>
      <c r="E201" t="s">
        <v>1053</v>
      </c>
    </row>
    <row r="202" spans="1:5" x14ac:dyDescent="0.3">
      <c r="A202" t="s">
        <v>258</v>
      </c>
      <c r="B202" t="s">
        <v>784</v>
      </c>
      <c r="C202" t="s">
        <v>600</v>
      </c>
      <c r="D202" t="s">
        <v>920</v>
      </c>
      <c r="E202" t="s">
        <v>1054</v>
      </c>
    </row>
    <row r="203" spans="1:5" x14ac:dyDescent="0.3">
      <c r="A203" t="s">
        <v>258</v>
      </c>
      <c r="B203" t="s">
        <v>785</v>
      </c>
      <c r="C203" t="s">
        <v>603</v>
      </c>
      <c r="D203" t="s">
        <v>921</v>
      </c>
      <c r="E203" t="s">
        <v>1055</v>
      </c>
    </row>
    <row r="204" spans="1:5" x14ac:dyDescent="0.3">
      <c r="A204" t="s">
        <v>258</v>
      </c>
      <c r="B204" t="s">
        <v>786</v>
      </c>
      <c r="C204" t="s">
        <v>606</v>
      </c>
      <c r="D204" t="s">
        <v>922</v>
      </c>
      <c r="E204" t="s">
        <v>1056</v>
      </c>
    </row>
    <row r="205" spans="1:5" x14ac:dyDescent="0.3">
      <c r="A205" t="s">
        <v>258</v>
      </c>
      <c r="B205" t="s">
        <v>787</v>
      </c>
      <c r="C205" t="s">
        <v>609</v>
      </c>
      <c r="D205" t="s">
        <v>923</v>
      </c>
      <c r="E205" t="s">
        <v>1057</v>
      </c>
    </row>
    <row r="206" spans="1:5" x14ac:dyDescent="0.3">
      <c r="A206" t="s">
        <v>258</v>
      </c>
      <c r="B206" t="s">
        <v>788</v>
      </c>
      <c r="C206" t="s">
        <v>612</v>
      </c>
      <c r="D206" t="s">
        <v>924</v>
      </c>
      <c r="E206" t="s">
        <v>1058</v>
      </c>
    </row>
    <row r="207" spans="1:5" x14ac:dyDescent="0.3">
      <c r="A207" t="s">
        <v>258</v>
      </c>
      <c r="B207" t="s">
        <v>789</v>
      </c>
      <c r="C207" t="s">
        <v>615</v>
      </c>
      <c r="D207" t="s">
        <v>925</v>
      </c>
      <c r="E207" t="s">
        <v>1059</v>
      </c>
    </row>
    <row r="208" spans="1:5" x14ac:dyDescent="0.3">
      <c r="A208" t="s">
        <v>258</v>
      </c>
      <c r="B208" t="s">
        <v>790</v>
      </c>
      <c r="C208" t="s">
        <v>618</v>
      </c>
      <c r="D208" t="s">
        <v>926</v>
      </c>
      <c r="E208" t="s">
        <v>1060</v>
      </c>
    </row>
    <row r="209" spans="1:5" x14ac:dyDescent="0.3">
      <c r="A209" t="s">
        <v>258</v>
      </c>
      <c r="B209" t="s">
        <v>791</v>
      </c>
      <c r="C209" t="s">
        <v>621</v>
      </c>
      <c r="D209" t="s">
        <v>927</v>
      </c>
      <c r="E209" t="s">
        <v>1061</v>
      </c>
    </row>
    <row r="210" spans="1:5" x14ac:dyDescent="0.3">
      <c r="A210" t="s">
        <v>258</v>
      </c>
      <c r="B210" t="s">
        <v>792</v>
      </c>
      <c r="C210" t="s">
        <v>624</v>
      </c>
      <c r="D210" t="s">
        <v>928</v>
      </c>
      <c r="E210" t="s">
        <v>1062</v>
      </c>
    </row>
    <row r="211" spans="1:5" x14ac:dyDescent="0.3">
      <c r="A211" t="s">
        <v>258</v>
      </c>
      <c r="B211" t="s">
        <v>793</v>
      </c>
      <c r="C211" t="s">
        <v>627</v>
      </c>
      <c r="D211" t="s">
        <v>929</v>
      </c>
      <c r="E211" t="s">
        <v>1063</v>
      </c>
    </row>
  </sheetData>
  <autoFilter ref="A1:E211" xr:uid="{577D3104-FC3C-41B2-88A4-1A783F86E6A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5736-FD61-4DBE-A2B7-F08D939B756F}">
  <dimension ref="A1:K127"/>
  <sheetViews>
    <sheetView topLeftCell="A94" workbookViewId="0">
      <selection activeCell="E110" sqref="E110"/>
    </sheetView>
  </sheetViews>
  <sheetFormatPr defaultRowHeight="14.4" x14ac:dyDescent="0.3"/>
  <cols>
    <col min="5" max="5" width="54" customWidth="1"/>
  </cols>
  <sheetData>
    <row r="1" spans="1:10" x14ac:dyDescent="0.3">
      <c r="A1" t="s">
        <v>1116</v>
      </c>
      <c r="B1" t="s">
        <v>1117</v>
      </c>
      <c r="C1" t="s">
        <v>1118</v>
      </c>
      <c r="D1" t="s">
        <v>1119</v>
      </c>
      <c r="E1" t="s">
        <v>1120</v>
      </c>
      <c r="F1" t="s">
        <v>1518</v>
      </c>
    </row>
    <row r="2" spans="1:10" x14ac:dyDescent="0.3">
      <c r="A2" t="s">
        <v>1519</v>
      </c>
      <c r="B2" t="s">
        <v>668</v>
      </c>
      <c r="C2" t="s">
        <v>804</v>
      </c>
    </row>
    <row r="3" spans="1:10" x14ac:dyDescent="0.3">
      <c r="A3" t="s">
        <v>1519</v>
      </c>
      <c r="B3" t="s">
        <v>669</v>
      </c>
      <c r="C3" t="s">
        <v>805</v>
      </c>
      <c r="D3" t="s">
        <v>1520</v>
      </c>
      <c r="E3" t="s">
        <v>1521</v>
      </c>
      <c r="F3">
        <v>0.83499999999999996</v>
      </c>
    </row>
    <row r="4" spans="1:10" x14ac:dyDescent="0.3">
      <c r="A4" t="s">
        <v>1519</v>
      </c>
      <c r="B4" t="s">
        <v>670</v>
      </c>
      <c r="C4" t="s">
        <v>806</v>
      </c>
      <c r="D4" t="s">
        <v>1522</v>
      </c>
      <c r="E4" t="s">
        <v>1523</v>
      </c>
      <c r="F4">
        <v>0.94899999999999995</v>
      </c>
    </row>
    <row r="5" spans="1:10" x14ac:dyDescent="0.3">
      <c r="A5" t="s">
        <v>1519</v>
      </c>
      <c r="B5" t="s">
        <v>671</v>
      </c>
      <c r="C5" t="s">
        <v>942</v>
      </c>
      <c r="D5" t="s">
        <v>5</v>
      </c>
      <c r="E5" t="s">
        <v>1131</v>
      </c>
      <c r="F5" t="s">
        <v>1524</v>
      </c>
      <c r="G5" t="s">
        <v>1525</v>
      </c>
      <c r="H5">
        <v>0.81100000000000005</v>
      </c>
    </row>
    <row r="6" spans="1:10" x14ac:dyDescent="0.3">
      <c r="A6" t="s">
        <v>1519</v>
      </c>
      <c r="B6" t="s">
        <v>672</v>
      </c>
      <c r="C6" t="s">
        <v>1526</v>
      </c>
      <c r="D6" t="s">
        <v>8</v>
      </c>
      <c r="E6" t="s">
        <v>1527</v>
      </c>
      <c r="F6" t="s">
        <v>10</v>
      </c>
      <c r="G6" t="s">
        <v>1134</v>
      </c>
      <c r="H6" t="s">
        <v>1528</v>
      </c>
      <c r="I6" t="s">
        <v>1529</v>
      </c>
      <c r="J6">
        <v>0.72799999999999998</v>
      </c>
    </row>
    <row r="7" spans="1:10" x14ac:dyDescent="0.3">
      <c r="A7" t="s">
        <v>1519</v>
      </c>
      <c r="B7" t="s">
        <v>673</v>
      </c>
      <c r="C7" t="s">
        <v>809</v>
      </c>
      <c r="D7" t="s">
        <v>1530</v>
      </c>
      <c r="E7" t="s">
        <v>1531</v>
      </c>
      <c r="F7">
        <v>0.82799999999999996</v>
      </c>
    </row>
    <row r="8" spans="1:10" x14ac:dyDescent="0.3">
      <c r="A8" t="s">
        <v>1519</v>
      </c>
      <c r="B8" t="s">
        <v>674</v>
      </c>
      <c r="C8" t="s">
        <v>810</v>
      </c>
      <c r="D8" t="s">
        <v>1532</v>
      </c>
      <c r="E8" t="s">
        <v>1533</v>
      </c>
      <c r="F8">
        <v>0.93700000000000006</v>
      </c>
    </row>
    <row r="9" spans="1:10" x14ac:dyDescent="0.3">
      <c r="A9" t="s">
        <v>1519</v>
      </c>
      <c r="B9" t="s">
        <v>675</v>
      </c>
      <c r="C9" t="s">
        <v>1534</v>
      </c>
      <c r="D9" t="s">
        <v>1535</v>
      </c>
      <c r="E9" t="s">
        <v>1536</v>
      </c>
      <c r="F9" t="s">
        <v>1537</v>
      </c>
      <c r="G9" t="s">
        <v>1131</v>
      </c>
      <c r="H9" t="s">
        <v>1139</v>
      </c>
      <c r="I9" t="s">
        <v>1538</v>
      </c>
      <c r="J9">
        <v>0.80100000000000005</v>
      </c>
    </row>
    <row r="10" spans="1:10" x14ac:dyDescent="0.3">
      <c r="A10" t="s">
        <v>1519</v>
      </c>
      <c r="B10" t="s">
        <v>676</v>
      </c>
      <c r="C10" t="s">
        <v>812</v>
      </c>
      <c r="D10" t="s">
        <v>1539</v>
      </c>
      <c r="E10" t="s">
        <v>1540</v>
      </c>
      <c r="F10">
        <v>0.97599999999999998</v>
      </c>
    </row>
    <row r="11" spans="1:10" x14ac:dyDescent="0.3">
      <c r="A11" t="s">
        <v>1519</v>
      </c>
      <c r="B11" t="s">
        <v>677</v>
      </c>
      <c r="C11" t="s">
        <v>1541</v>
      </c>
      <c r="D11" t="s">
        <v>19</v>
      </c>
      <c r="E11" t="s">
        <v>1542</v>
      </c>
      <c r="F11" t="s">
        <v>1143</v>
      </c>
      <c r="G11" t="s">
        <v>1543</v>
      </c>
      <c r="H11">
        <v>0.94899999999999995</v>
      </c>
    </row>
    <row r="12" spans="1:10" x14ac:dyDescent="0.3">
      <c r="A12" t="s">
        <v>1519</v>
      </c>
      <c r="B12" t="s">
        <v>678</v>
      </c>
      <c r="C12" t="s">
        <v>814</v>
      </c>
      <c r="D12" t="s">
        <v>1127</v>
      </c>
      <c r="E12" t="s">
        <v>1128</v>
      </c>
      <c r="F12">
        <v>0.91500000000000004</v>
      </c>
    </row>
    <row r="13" spans="1:10" x14ac:dyDescent="0.3">
      <c r="A13" t="s">
        <v>1519</v>
      </c>
      <c r="B13" t="s">
        <v>679</v>
      </c>
      <c r="C13" t="s">
        <v>815</v>
      </c>
      <c r="D13" t="s">
        <v>1544</v>
      </c>
      <c r="E13" t="s">
        <v>1545</v>
      </c>
      <c r="F13">
        <v>0.86499999999999999</v>
      </c>
    </row>
    <row r="14" spans="1:10" x14ac:dyDescent="0.3">
      <c r="A14" t="s">
        <v>1519</v>
      </c>
      <c r="B14" t="s">
        <v>680</v>
      </c>
      <c r="C14" t="s">
        <v>1148</v>
      </c>
      <c r="D14" t="s">
        <v>1149</v>
      </c>
      <c r="E14" t="s">
        <v>1546</v>
      </c>
      <c r="F14" t="s">
        <v>1547</v>
      </c>
      <c r="G14">
        <v>0.92800000000000005</v>
      </c>
    </row>
    <row r="15" spans="1:10" x14ac:dyDescent="0.3">
      <c r="A15" t="s">
        <v>1519</v>
      </c>
      <c r="B15" t="s">
        <v>681</v>
      </c>
      <c r="C15" t="s">
        <v>1548</v>
      </c>
      <c r="D15" t="s">
        <v>1549</v>
      </c>
      <c r="E15" t="s">
        <v>1550</v>
      </c>
      <c r="F15" t="s">
        <v>1551</v>
      </c>
      <c r="G15" t="s">
        <v>1552</v>
      </c>
      <c r="H15" t="s">
        <v>1553</v>
      </c>
      <c r="I15">
        <v>0.872</v>
      </c>
    </row>
    <row r="16" spans="1:10" x14ac:dyDescent="0.3">
      <c r="A16" t="s">
        <v>1519</v>
      </c>
      <c r="B16" t="s">
        <v>682</v>
      </c>
      <c r="C16" t="s">
        <v>818</v>
      </c>
    </row>
    <row r="17" spans="1:10" x14ac:dyDescent="0.3">
      <c r="A17" t="s">
        <v>1519</v>
      </c>
      <c r="B17" t="s">
        <v>683</v>
      </c>
      <c r="C17" t="s">
        <v>1554</v>
      </c>
      <c r="D17" t="s">
        <v>25</v>
      </c>
      <c r="E17" t="s">
        <v>1555</v>
      </c>
      <c r="F17" t="s">
        <v>1556</v>
      </c>
      <c r="G17" t="s">
        <v>1557</v>
      </c>
      <c r="H17">
        <v>0.95899999999999996</v>
      </c>
    </row>
    <row r="18" spans="1:10" x14ac:dyDescent="0.3">
      <c r="A18" t="s">
        <v>1519</v>
      </c>
      <c r="B18" t="s">
        <v>684</v>
      </c>
      <c r="C18" t="s">
        <v>820</v>
      </c>
      <c r="D18" t="s">
        <v>1558</v>
      </c>
      <c r="E18" t="s">
        <v>1559</v>
      </c>
      <c r="F18">
        <v>0.97599999999999998</v>
      </c>
    </row>
    <row r="19" spans="1:10" x14ac:dyDescent="0.3">
      <c r="A19" t="s">
        <v>1519</v>
      </c>
      <c r="B19" t="s">
        <v>685</v>
      </c>
      <c r="C19" t="s">
        <v>821</v>
      </c>
      <c r="D19" t="s">
        <v>1560</v>
      </c>
      <c r="E19" t="s">
        <v>1561</v>
      </c>
      <c r="F19">
        <v>0.94</v>
      </c>
    </row>
    <row r="20" spans="1:10" x14ac:dyDescent="0.3">
      <c r="A20" t="s">
        <v>1519</v>
      </c>
      <c r="B20" t="s">
        <v>686</v>
      </c>
      <c r="C20" t="s">
        <v>822</v>
      </c>
      <c r="D20" t="s">
        <v>1562</v>
      </c>
      <c r="E20" t="s">
        <v>1563</v>
      </c>
      <c r="F20">
        <v>0.95599999999999996</v>
      </c>
    </row>
    <row r="21" spans="1:10" x14ac:dyDescent="0.3">
      <c r="A21" t="s">
        <v>1519</v>
      </c>
      <c r="B21" t="s">
        <v>687</v>
      </c>
      <c r="C21" t="s">
        <v>1564</v>
      </c>
      <c r="D21" t="s">
        <v>1565</v>
      </c>
      <c r="E21" t="s">
        <v>1566</v>
      </c>
      <c r="F21" t="s">
        <v>1567</v>
      </c>
      <c r="G21" t="s">
        <v>1568</v>
      </c>
      <c r="H21">
        <v>0.94399999999999995</v>
      </c>
    </row>
    <row r="22" spans="1:10" x14ac:dyDescent="0.3">
      <c r="A22" t="s">
        <v>1519</v>
      </c>
      <c r="B22" t="s">
        <v>688</v>
      </c>
      <c r="C22" t="s">
        <v>824</v>
      </c>
      <c r="D22" t="s">
        <v>1569</v>
      </c>
      <c r="E22" t="s">
        <v>1570</v>
      </c>
      <c r="F22">
        <v>0.97799999999999998</v>
      </c>
    </row>
    <row r="23" spans="1:10" x14ac:dyDescent="0.3">
      <c r="A23" t="s">
        <v>1519</v>
      </c>
      <c r="B23" t="s">
        <v>689</v>
      </c>
      <c r="C23" t="s">
        <v>825</v>
      </c>
      <c r="D23" t="s">
        <v>1571</v>
      </c>
      <c r="E23" t="s">
        <v>1572</v>
      </c>
      <c r="F23">
        <v>0.97399999999999998</v>
      </c>
    </row>
    <row r="24" spans="1:10" x14ac:dyDescent="0.3">
      <c r="A24" t="s">
        <v>1519</v>
      </c>
      <c r="B24" t="s">
        <v>690</v>
      </c>
      <c r="C24" t="s">
        <v>1573</v>
      </c>
      <c r="D24" t="s">
        <v>38</v>
      </c>
      <c r="E24" t="s">
        <v>39</v>
      </c>
      <c r="F24" t="s">
        <v>1574</v>
      </c>
      <c r="G24" t="s">
        <v>1575</v>
      </c>
      <c r="H24" t="s">
        <v>1576</v>
      </c>
      <c r="I24">
        <v>0.97199999999999998</v>
      </c>
    </row>
    <row r="25" spans="1:10" x14ac:dyDescent="0.3">
      <c r="A25" t="s">
        <v>1519</v>
      </c>
      <c r="B25" t="s">
        <v>691</v>
      </c>
      <c r="C25" t="s">
        <v>827</v>
      </c>
      <c r="D25" t="s">
        <v>1577</v>
      </c>
      <c r="E25" t="s">
        <v>1578</v>
      </c>
      <c r="F25">
        <v>0.98099999999999998</v>
      </c>
    </row>
    <row r="26" spans="1:10" x14ac:dyDescent="0.3">
      <c r="A26" t="s">
        <v>1519</v>
      </c>
      <c r="B26" t="s">
        <v>692</v>
      </c>
      <c r="C26" t="s">
        <v>1579</v>
      </c>
      <c r="D26" t="s">
        <v>1580</v>
      </c>
      <c r="E26" t="s">
        <v>1581</v>
      </c>
      <c r="F26" t="s">
        <v>1582</v>
      </c>
      <c r="G26" t="s">
        <v>1555</v>
      </c>
      <c r="H26" t="s">
        <v>1583</v>
      </c>
      <c r="I26" t="s">
        <v>1584</v>
      </c>
      <c r="J26">
        <v>0.97799999999999998</v>
      </c>
    </row>
    <row r="27" spans="1:10" x14ac:dyDescent="0.3">
      <c r="A27" t="s">
        <v>1519</v>
      </c>
      <c r="B27" t="s">
        <v>693</v>
      </c>
      <c r="C27" t="s">
        <v>829</v>
      </c>
      <c r="D27" t="s">
        <v>1585</v>
      </c>
      <c r="E27" t="s">
        <v>1586</v>
      </c>
      <c r="F27">
        <v>0.97099999999999997</v>
      </c>
    </row>
    <row r="28" spans="1:10" x14ac:dyDescent="0.3">
      <c r="A28" t="s">
        <v>1519</v>
      </c>
      <c r="B28" t="s">
        <v>694</v>
      </c>
      <c r="C28" t="s">
        <v>830</v>
      </c>
      <c r="D28" t="s">
        <v>1587</v>
      </c>
      <c r="E28" t="s">
        <v>1588</v>
      </c>
      <c r="F28">
        <v>0.92200000000000004</v>
      </c>
    </row>
    <row r="29" spans="1:10" x14ac:dyDescent="0.3">
      <c r="A29" t="s">
        <v>1519</v>
      </c>
      <c r="B29" t="s">
        <v>695</v>
      </c>
      <c r="C29" t="s">
        <v>831</v>
      </c>
      <c r="D29" t="s">
        <v>1589</v>
      </c>
      <c r="E29" t="s">
        <v>1590</v>
      </c>
      <c r="F29">
        <v>0.96199999999999997</v>
      </c>
    </row>
    <row r="30" spans="1:10" x14ac:dyDescent="0.3">
      <c r="A30" t="s">
        <v>1519</v>
      </c>
      <c r="B30" t="s">
        <v>696</v>
      </c>
      <c r="C30" t="s">
        <v>832</v>
      </c>
      <c r="D30" t="s">
        <v>1591</v>
      </c>
      <c r="E30" t="s">
        <v>1592</v>
      </c>
      <c r="F30">
        <v>0.94</v>
      </c>
    </row>
    <row r="31" spans="1:10" x14ac:dyDescent="0.3">
      <c r="A31" t="s">
        <v>1519</v>
      </c>
      <c r="B31" t="s">
        <v>697</v>
      </c>
      <c r="C31" t="s">
        <v>833</v>
      </c>
      <c r="D31" t="s">
        <v>1593</v>
      </c>
      <c r="E31" t="s">
        <v>1594</v>
      </c>
      <c r="F31">
        <v>0.97199999999999998</v>
      </c>
    </row>
    <row r="32" spans="1:10" x14ac:dyDescent="0.3">
      <c r="A32" t="s">
        <v>1519</v>
      </c>
      <c r="B32" t="s">
        <v>698</v>
      </c>
      <c r="C32" t="s">
        <v>1595</v>
      </c>
      <c r="D32" t="s">
        <v>45</v>
      </c>
      <c r="E32" t="s">
        <v>1596</v>
      </c>
      <c r="F32" t="s">
        <v>1597</v>
      </c>
      <c r="G32" t="s">
        <v>1598</v>
      </c>
      <c r="H32">
        <v>0.94299999999999995</v>
      </c>
    </row>
    <row r="33" spans="1:10" x14ac:dyDescent="0.3">
      <c r="A33" t="s">
        <v>1519</v>
      </c>
      <c r="B33" t="s">
        <v>699</v>
      </c>
      <c r="C33" t="s">
        <v>835</v>
      </c>
      <c r="D33" t="s">
        <v>1599</v>
      </c>
      <c r="E33" t="s">
        <v>1600</v>
      </c>
      <c r="F33">
        <v>0.96899999999999997</v>
      </c>
    </row>
    <row r="34" spans="1:10" x14ac:dyDescent="0.3">
      <c r="A34" t="s">
        <v>1519</v>
      </c>
      <c r="B34" t="s">
        <v>700</v>
      </c>
      <c r="C34" t="s">
        <v>836</v>
      </c>
      <c r="D34" t="s">
        <v>1601</v>
      </c>
      <c r="E34" t="s">
        <v>1602</v>
      </c>
      <c r="F34">
        <v>0.97499999999999998</v>
      </c>
    </row>
    <row r="35" spans="1:10" x14ac:dyDescent="0.3">
      <c r="A35" t="s">
        <v>1519</v>
      </c>
      <c r="B35" t="s">
        <v>701</v>
      </c>
      <c r="C35" t="s">
        <v>1603</v>
      </c>
      <c r="D35" t="s">
        <v>1604</v>
      </c>
      <c r="E35" t="s">
        <v>1605</v>
      </c>
      <c r="F35" t="s">
        <v>1606</v>
      </c>
      <c r="G35">
        <v>0.97599999999999998</v>
      </c>
    </row>
    <row r="36" spans="1:10" x14ac:dyDescent="0.3">
      <c r="A36" t="s">
        <v>1519</v>
      </c>
      <c r="B36" t="s">
        <v>702</v>
      </c>
      <c r="C36" t="s">
        <v>1607</v>
      </c>
      <c r="D36" t="s">
        <v>1608</v>
      </c>
      <c r="E36" t="s">
        <v>1609</v>
      </c>
      <c r="F36" t="s">
        <v>1610</v>
      </c>
      <c r="G36" t="s">
        <v>1555</v>
      </c>
      <c r="H36" t="s">
        <v>1611</v>
      </c>
      <c r="I36" t="s">
        <v>1612</v>
      </c>
      <c r="J36">
        <v>0.95799999999999996</v>
      </c>
    </row>
    <row r="37" spans="1:10" x14ac:dyDescent="0.3">
      <c r="A37" t="s">
        <v>1519</v>
      </c>
      <c r="B37" t="s">
        <v>703</v>
      </c>
      <c r="C37" t="s">
        <v>839</v>
      </c>
      <c r="D37" t="s">
        <v>1613</v>
      </c>
      <c r="E37" t="s">
        <v>1614</v>
      </c>
      <c r="F37">
        <v>0.98099999999999998</v>
      </c>
    </row>
    <row r="38" spans="1:10" x14ac:dyDescent="0.3">
      <c r="A38" t="s">
        <v>1519</v>
      </c>
      <c r="B38" t="s">
        <v>704</v>
      </c>
      <c r="C38" t="s">
        <v>1615</v>
      </c>
      <c r="D38" t="s">
        <v>1616</v>
      </c>
      <c r="E38" t="s">
        <v>1617</v>
      </c>
      <c r="F38" t="s">
        <v>1618</v>
      </c>
      <c r="G38">
        <v>0.96399999999999997</v>
      </c>
    </row>
    <row r="39" spans="1:10" x14ac:dyDescent="0.3">
      <c r="A39" t="s">
        <v>1519</v>
      </c>
      <c r="B39" t="s">
        <v>705</v>
      </c>
      <c r="C39" t="s">
        <v>1619</v>
      </c>
      <c r="D39" t="s">
        <v>1620</v>
      </c>
      <c r="E39" t="s">
        <v>1621</v>
      </c>
      <c r="F39" t="s">
        <v>1622</v>
      </c>
      <c r="G39">
        <v>0.96699999999999997</v>
      </c>
    </row>
    <row r="40" spans="1:10" x14ac:dyDescent="0.3">
      <c r="A40" t="s">
        <v>1519</v>
      </c>
      <c r="B40" t="s">
        <v>706</v>
      </c>
      <c r="C40" t="s">
        <v>842</v>
      </c>
      <c r="D40" t="s">
        <v>1623</v>
      </c>
      <c r="E40" t="s">
        <v>1624</v>
      </c>
      <c r="F40">
        <v>0.96699999999999997</v>
      </c>
    </row>
    <row r="41" spans="1:10" x14ac:dyDescent="0.3">
      <c r="A41" t="s">
        <v>1519</v>
      </c>
      <c r="B41" t="s">
        <v>707</v>
      </c>
      <c r="C41" t="s">
        <v>1625</v>
      </c>
      <c r="D41" t="s">
        <v>1626</v>
      </c>
      <c r="E41" t="s">
        <v>1627</v>
      </c>
      <c r="F41" t="s">
        <v>1628</v>
      </c>
      <c r="G41">
        <v>0.96799999999999997</v>
      </c>
    </row>
    <row r="42" spans="1:10" x14ac:dyDescent="0.3">
      <c r="A42" t="s">
        <v>1519</v>
      </c>
      <c r="B42" t="s">
        <v>708</v>
      </c>
      <c r="C42" t="s">
        <v>1629</v>
      </c>
      <c r="D42" t="s">
        <v>1630</v>
      </c>
      <c r="E42" t="s">
        <v>1631</v>
      </c>
      <c r="F42" t="s">
        <v>1632</v>
      </c>
      <c r="G42" t="s">
        <v>1633</v>
      </c>
      <c r="H42">
        <v>0.95599999999999996</v>
      </c>
    </row>
    <row r="43" spans="1:10" x14ac:dyDescent="0.3">
      <c r="A43" t="s">
        <v>1519</v>
      </c>
      <c r="B43" t="s">
        <v>709</v>
      </c>
      <c r="C43" t="s">
        <v>1634</v>
      </c>
      <c r="D43" t="s">
        <v>1635</v>
      </c>
      <c r="E43" t="s">
        <v>1636</v>
      </c>
      <c r="F43" t="s">
        <v>1637</v>
      </c>
      <c r="G43">
        <v>0.94399999999999995</v>
      </c>
    </row>
    <row r="44" spans="1:10" x14ac:dyDescent="0.3">
      <c r="A44" t="s">
        <v>1519</v>
      </c>
      <c r="B44" t="s">
        <v>710</v>
      </c>
      <c r="C44" t="s">
        <v>846</v>
      </c>
      <c r="D44" t="s">
        <v>1638</v>
      </c>
      <c r="E44" t="s">
        <v>1639</v>
      </c>
      <c r="F44">
        <v>0.97299999999999998</v>
      </c>
    </row>
    <row r="45" spans="1:10" x14ac:dyDescent="0.3">
      <c r="A45" t="s">
        <v>1519</v>
      </c>
      <c r="B45" t="s">
        <v>711</v>
      </c>
      <c r="C45" t="s">
        <v>847</v>
      </c>
      <c r="D45" t="s">
        <v>1640</v>
      </c>
      <c r="E45" t="s">
        <v>1641</v>
      </c>
      <c r="F45">
        <v>0.97299999999999998</v>
      </c>
    </row>
    <row r="46" spans="1:10" x14ac:dyDescent="0.3">
      <c r="A46" t="s">
        <v>1519</v>
      </c>
      <c r="B46" t="s">
        <v>712</v>
      </c>
      <c r="C46" t="s">
        <v>848</v>
      </c>
      <c r="D46" t="s">
        <v>1642</v>
      </c>
      <c r="E46" t="s">
        <v>1643</v>
      </c>
      <c r="F46">
        <v>0.97599999999999998</v>
      </c>
    </row>
    <row r="47" spans="1:10" x14ac:dyDescent="0.3">
      <c r="A47" t="s">
        <v>1519</v>
      </c>
      <c r="B47" t="s">
        <v>713</v>
      </c>
      <c r="C47" t="s">
        <v>849</v>
      </c>
      <c r="D47" t="s">
        <v>1644</v>
      </c>
      <c r="E47" t="s">
        <v>1645</v>
      </c>
      <c r="F47">
        <v>0.94799999999999995</v>
      </c>
    </row>
    <row r="48" spans="1:10" x14ac:dyDescent="0.3">
      <c r="A48" t="s">
        <v>1519</v>
      </c>
      <c r="B48" t="s">
        <v>714</v>
      </c>
      <c r="C48" t="s">
        <v>1646</v>
      </c>
      <c r="D48" t="s">
        <v>1647</v>
      </c>
      <c r="E48" t="s">
        <v>1648</v>
      </c>
      <c r="F48" t="s">
        <v>1649</v>
      </c>
      <c r="G48" t="s">
        <v>1650</v>
      </c>
      <c r="H48">
        <v>0.93</v>
      </c>
    </row>
    <row r="49" spans="1:11" x14ac:dyDescent="0.3">
      <c r="A49" t="s">
        <v>1519</v>
      </c>
      <c r="B49" t="s">
        <v>715</v>
      </c>
      <c r="C49" t="s">
        <v>851</v>
      </c>
      <c r="D49" t="s">
        <v>1220</v>
      </c>
      <c r="E49" t="s">
        <v>1221</v>
      </c>
      <c r="F49">
        <v>0.95699999999999996</v>
      </c>
    </row>
    <row r="50" spans="1:11" x14ac:dyDescent="0.3">
      <c r="A50" t="s">
        <v>1519</v>
      </c>
      <c r="B50" t="s">
        <v>716</v>
      </c>
      <c r="C50" t="s">
        <v>852</v>
      </c>
      <c r="D50" t="s">
        <v>1223</v>
      </c>
      <c r="E50" t="s">
        <v>1224</v>
      </c>
      <c r="F50">
        <v>0.94799999999999995</v>
      </c>
    </row>
    <row r="51" spans="1:11" x14ac:dyDescent="0.3">
      <c r="A51" t="s">
        <v>1519</v>
      </c>
      <c r="B51" t="s">
        <v>717</v>
      </c>
      <c r="C51" t="s">
        <v>853</v>
      </c>
      <c r="D51" t="s">
        <v>1226</v>
      </c>
      <c r="E51" t="s">
        <v>1651</v>
      </c>
      <c r="F51">
        <v>0.94499999999999995</v>
      </c>
    </row>
    <row r="52" spans="1:11" x14ac:dyDescent="0.3">
      <c r="A52" t="s">
        <v>1519</v>
      </c>
      <c r="B52" t="s">
        <v>718</v>
      </c>
      <c r="C52" t="s">
        <v>854</v>
      </c>
      <c r="D52" t="s">
        <v>1229</v>
      </c>
      <c r="E52" t="s">
        <v>1652</v>
      </c>
      <c r="F52">
        <v>0.94499999999999995</v>
      </c>
    </row>
    <row r="53" spans="1:11" x14ac:dyDescent="0.3">
      <c r="A53" t="s">
        <v>1519</v>
      </c>
      <c r="B53" t="s">
        <v>719</v>
      </c>
      <c r="C53" t="s">
        <v>855</v>
      </c>
      <c r="D53" t="s">
        <v>1231</v>
      </c>
      <c r="E53" t="s">
        <v>1653</v>
      </c>
      <c r="F53">
        <v>0.92500000000000004</v>
      </c>
    </row>
    <row r="54" spans="1:11" x14ac:dyDescent="0.3">
      <c r="A54" t="s">
        <v>1519</v>
      </c>
      <c r="B54" t="s">
        <v>720</v>
      </c>
      <c r="C54" t="s">
        <v>1654</v>
      </c>
      <c r="D54" t="s">
        <v>1655</v>
      </c>
      <c r="E54" t="s">
        <v>1656</v>
      </c>
      <c r="F54" t="s">
        <v>1131</v>
      </c>
      <c r="G54" t="s">
        <v>1234</v>
      </c>
      <c r="H54" t="s">
        <v>1657</v>
      </c>
      <c r="I54">
        <v>0.82199999999999995</v>
      </c>
    </row>
    <row r="55" spans="1:11" x14ac:dyDescent="0.3">
      <c r="A55" t="s">
        <v>1519</v>
      </c>
      <c r="B55" t="s">
        <v>721</v>
      </c>
      <c r="C55" t="s">
        <v>857</v>
      </c>
      <c r="D55" t="s">
        <v>1269</v>
      </c>
      <c r="E55" t="s">
        <v>1658</v>
      </c>
      <c r="F55">
        <v>0.98699999999999999</v>
      </c>
    </row>
    <row r="56" spans="1:11" x14ac:dyDescent="0.3">
      <c r="A56" t="s">
        <v>1519</v>
      </c>
      <c r="B56" t="s">
        <v>722</v>
      </c>
      <c r="C56" t="s">
        <v>1659</v>
      </c>
      <c r="D56" t="s">
        <v>1660</v>
      </c>
      <c r="E56" t="s">
        <v>1661</v>
      </c>
      <c r="F56" t="s">
        <v>1662</v>
      </c>
      <c r="G56" t="s">
        <v>1272</v>
      </c>
      <c r="H56" t="s">
        <v>1663</v>
      </c>
      <c r="I56">
        <v>0.97499999999999998</v>
      </c>
    </row>
    <row r="57" spans="1:11" x14ac:dyDescent="0.3">
      <c r="A57" t="s">
        <v>1519</v>
      </c>
      <c r="B57" t="s">
        <v>723</v>
      </c>
      <c r="C57" t="s">
        <v>1664</v>
      </c>
      <c r="D57" t="s">
        <v>1665</v>
      </c>
      <c r="E57" t="s">
        <v>1666</v>
      </c>
      <c r="F57" t="s">
        <v>1667</v>
      </c>
      <c r="G57">
        <v>0.98399999999999999</v>
      </c>
    </row>
    <row r="58" spans="1:11" x14ac:dyDescent="0.3">
      <c r="A58" t="s">
        <v>1519</v>
      </c>
      <c r="B58" t="s">
        <v>724</v>
      </c>
      <c r="C58" t="s">
        <v>860</v>
      </c>
      <c r="D58" t="s">
        <v>1668</v>
      </c>
      <c r="E58" t="s">
        <v>1669</v>
      </c>
      <c r="F58">
        <v>0.97799999999999998</v>
      </c>
    </row>
    <row r="59" spans="1:11" x14ac:dyDescent="0.3">
      <c r="A59" t="s">
        <v>1519</v>
      </c>
      <c r="B59" t="s">
        <v>725</v>
      </c>
      <c r="C59" t="s">
        <v>861</v>
      </c>
      <c r="D59" t="s">
        <v>1248</v>
      </c>
      <c r="E59" t="s">
        <v>1249</v>
      </c>
      <c r="F59">
        <v>0.97299999999999998</v>
      </c>
    </row>
    <row r="60" spans="1:11" x14ac:dyDescent="0.3">
      <c r="A60" t="s">
        <v>1519</v>
      </c>
      <c r="B60" t="s">
        <v>726</v>
      </c>
      <c r="C60" t="s">
        <v>862</v>
      </c>
      <c r="D60" t="s">
        <v>1251</v>
      </c>
      <c r="E60" t="s">
        <v>1252</v>
      </c>
      <c r="F60">
        <v>0.98299999999999998</v>
      </c>
    </row>
    <row r="61" spans="1:11" x14ac:dyDescent="0.3">
      <c r="A61" t="s">
        <v>1519</v>
      </c>
      <c r="B61" t="s">
        <v>727</v>
      </c>
      <c r="C61" t="s">
        <v>1670</v>
      </c>
      <c r="D61" t="s">
        <v>1671</v>
      </c>
      <c r="E61" t="s">
        <v>1254</v>
      </c>
      <c r="F61" t="s">
        <v>1672</v>
      </c>
      <c r="G61">
        <v>0.98</v>
      </c>
    </row>
    <row r="62" spans="1:11" x14ac:dyDescent="0.3">
      <c r="A62" t="s">
        <v>1519</v>
      </c>
      <c r="B62" t="s">
        <v>728</v>
      </c>
      <c r="C62" t="s">
        <v>1670</v>
      </c>
      <c r="D62" t="s">
        <v>1673</v>
      </c>
      <c r="E62" t="s">
        <v>1608</v>
      </c>
      <c r="F62" t="s">
        <v>1609</v>
      </c>
      <c r="G62" t="s">
        <v>1610</v>
      </c>
      <c r="H62" t="s">
        <v>1555</v>
      </c>
      <c r="I62" t="s">
        <v>1257</v>
      </c>
      <c r="J62" t="s">
        <v>1674</v>
      </c>
      <c r="K62">
        <v>0.98</v>
      </c>
    </row>
    <row r="63" spans="1:11" x14ac:dyDescent="0.3">
      <c r="A63" t="s">
        <v>1519</v>
      </c>
      <c r="B63" t="s">
        <v>729</v>
      </c>
      <c r="C63" t="s">
        <v>1670</v>
      </c>
      <c r="D63" t="s">
        <v>1675</v>
      </c>
      <c r="E63" t="s">
        <v>1260</v>
      </c>
      <c r="F63" t="s">
        <v>1676</v>
      </c>
      <c r="G63">
        <v>0.98399999999999999</v>
      </c>
    </row>
    <row r="64" spans="1:11" x14ac:dyDescent="0.3">
      <c r="A64" t="s">
        <v>1519</v>
      </c>
      <c r="B64" t="s">
        <v>730</v>
      </c>
      <c r="C64" t="s">
        <v>1670</v>
      </c>
      <c r="D64" t="s">
        <v>1677</v>
      </c>
      <c r="E64" t="s">
        <v>1263</v>
      </c>
      <c r="F64" t="s">
        <v>1678</v>
      </c>
      <c r="G64">
        <v>0.98199999999999998</v>
      </c>
    </row>
    <row r="65" spans="1:7" x14ac:dyDescent="0.3">
      <c r="A65" t="s">
        <v>1519</v>
      </c>
      <c r="B65" t="s">
        <v>731</v>
      </c>
      <c r="C65" t="s">
        <v>1670</v>
      </c>
      <c r="D65" t="s">
        <v>1679</v>
      </c>
      <c r="E65" t="s">
        <v>1266</v>
      </c>
      <c r="F65" t="s">
        <v>1680</v>
      </c>
      <c r="G65">
        <v>0.98299999999999998</v>
      </c>
    </row>
    <row r="66" spans="1:7" x14ac:dyDescent="0.3">
      <c r="A66" t="s">
        <v>1519</v>
      </c>
      <c r="B66" t="s">
        <v>732</v>
      </c>
      <c r="C66" t="s">
        <v>1681</v>
      </c>
      <c r="D66" t="s">
        <v>1682</v>
      </c>
      <c r="E66" t="s">
        <v>1277</v>
      </c>
      <c r="F66" t="s">
        <v>1683</v>
      </c>
      <c r="G66">
        <v>0.97699999999999998</v>
      </c>
    </row>
    <row r="67" spans="1:7" x14ac:dyDescent="0.3">
      <c r="A67" t="s">
        <v>1519</v>
      </c>
      <c r="B67" t="s">
        <v>733</v>
      </c>
      <c r="C67" t="s">
        <v>1681</v>
      </c>
      <c r="D67" t="s">
        <v>1684</v>
      </c>
      <c r="E67" t="s">
        <v>1279</v>
      </c>
      <c r="F67" t="s">
        <v>1685</v>
      </c>
      <c r="G67">
        <v>0.97899999999999998</v>
      </c>
    </row>
    <row r="68" spans="1:7" x14ac:dyDescent="0.3">
      <c r="A68" t="s">
        <v>1519</v>
      </c>
      <c r="B68" t="s">
        <v>734</v>
      </c>
      <c r="C68" t="s">
        <v>1681</v>
      </c>
      <c r="D68" t="s">
        <v>1686</v>
      </c>
      <c r="E68" t="s">
        <v>1282</v>
      </c>
      <c r="F68" t="s">
        <v>1687</v>
      </c>
      <c r="G68">
        <v>0.98199999999999998</v>
      </c>
    </row>
    <row r="69" spans="1:7" x14ac:dyDescent="0.3">
      <c r="A69" t="s">
        <v>1519</v>
      </c>
      <c r="B69" t="s">
        <v>735</v>
      </c>
      <c r="C69" t="s">
        <v>1681</v>
      </c>
      <c r="D69" t="s">
        <v>1688</v>
      </c>
      <c r="E69" t="s">
        <v>1284</v>
      </c>
      <c r="F69" t="s">
        <v>1689</v>
      </c>
      <c r="G69">
        <v>0.98299999999999998</v>
      </c>
    </row>
    <row r="70" spans="1:7" x14ac:dyDescent="0.3">
      <c r="A70" t="s">
        <v>1519</v>
      </c>
      <c r="B70" t="s">
        <v>736</v>
      </c>
      <c r="C70" t="s">
        <v>1681</v>
      </c>
      <c r="D70" t="s">
        <v>1690</v>
      </c>
      <c r="E70" t="s">
        <v>1286</v>
      </c>
      <c r="F70" t="s">
        <v>1691</v>
      </c>
      <c r="G70">
        <v>0.98099999999999998</v>
      </c>
    </row>
    <row r="71" spans="1:7" x14ac:dyDescent="0.3">
      <c r="A71" t="s">
        <v>1519</v>
      </c>
      <c r="B71" t="s">
        <v>737</v>
      </c>
      <c r="C71" t="s">
        <v>1681</v>
      </c>
      <c r="D71" t="s">
        <v>1692</v>
      </c>
      <c r="E71" t="s">
        <v>1288</v>
      </c>
      <c r="F71" t="s">
        <v>1693</v>
      </c>
      <c r="G71">
        <v>0.98199999999999998</v>
      </c>
    </row>
    <row r="72" spans="1:7" x14ac:dyDescent="0.3">
      <c r="A72" t="s">
        <v>1519</v>
      </c>
      <c r="B72" t="s">
        <v>738</v>
      </c>
      <c r="C72" t="s">
        <v>874</v>
      </c>
      <c r="D72" t="s">
        <v>1694</v>
      </c>
      <c r="E72" t="s">
        <v>1695</v>
      </c>
      <c r="F72">
        <v>0.97699999999999998</v>
      </c>
    </row>
    <row r="73" spans="1:7" x14ac:dyDescent="0.3">
      <c r="A73" t="s">
        <v>1519</v>
      </c>
      <c r="B73" t="s">
        <v>739</v>
      </c>
      <c r="C73" t="s">
        <v>875</v>
      </c>
      <c r="D73" t="s">
        <v>1696</v>
      </c>
      <c r="E73" t="s">
        <v>1697</v>
      </c>
      <c r="F73">
        <v>0.98199999999999998</v>
      </c>
    </row>
    <row r="74" spans="1:7" x14ac:dyDescent="0.3">
      <c r="A74" t="s">
        <v>1519</v>
      </c>
      <c r="B74" t="s">
        <v>740</v>
      </c>
      <c r="C74" t="s">
        <v>876</v>
      </c>
      <c r="D74" t="s">
        <v>1698</v>
      </c>
      <c r="E74" t="s">
        <v>1699</v>
      </c>
      <c r="F74">
        <v>0.98099999999999998</v>
      </c>
    </row>
    <row r="75" spans="1:7" x14ac:dyDescent="0.3">
      <c r="A75" t="s">
        <v>1519</v>
      </c>
      <c r="B75" t="s">
        <v>741</v>
      </c>
      <c r="C75" t="s">
        <v>1700</v>
      </c>
      <c r="D75" t="s">
        <v>1294</v>
      </c>
      <c r="E75" t="s">
        <v>1701</v>
      </c>
      <c r="F75">
        <v>0.98599999999999999</v>
      </c>
    </row>
    <row r="76" spans="1:7" x14ac:dyDescent="0.3">
      <c r="A76" t="s">
        <v>1519</v>
      </c>
      <c r="B76" t="s">
        <v>742</v>
      </c>
      <c r="C76" t="s">
        <v>1702</v>
      </c>
      <c r="D76" t="s">
        <v>1297</v>
      </c>
      <c r="E76" t="s">
        <v>1703</v>
      </c>
      <c r="F76">
        <v>0.98899999999999999</v>
      </c>
    </row>
    <row r="77" spans="1:7" x14ac:dyDescent="0.3">
      <c r="A77" t="s">
        <v>1519</v>
      </c>
      <c r="B77" t="s">
        <v>743</v>
      </c>
      <c r="C77" t="s">
        <v>1704</v>
      </c>
      <c r="D77" t="s">
        <v>1300</v>
      </c>
      <c r="E77" t="s">
        <v>1705</v>
      </c>
      <c r="F77">
        <v>0.98599999999999999</v>
      </c>
    </row>
    <row r="78" spans="1:7" x14ac:dyDescent="0.3">
      <c r="A78" t="s">
        <v>1519</v>
      </c>
      <c r="B78" t="s">
        <v>744</v>
      </c>
      <c r="C78" t="s">
        <v>1706</v>
      </c>
      <c r="D78" t="s">
        <v>1303</v>
      </c>
      <c r="E78" t="s">
        <v>1707</v>
      </c>
      <c r="F78">
        <v>0.98599999999999999</v>
      </c>
    </row>
    <row r="79" spans="1:7" x14ac:dyDescent="0.3">
      <c r="A79" t="s">
        <v>1519</v>
      </c>
      <c r="B79" t="s">
        <v>745</v>
      </c>
      <c r="C79" t="s">
        <v>1708</v>
      </c>
      <c r="D79" t="s">
        <v>1306</v>
      </c>
      <c r="E79" t="s">
        <v>1709</v>
      </c>
      <c r="F79">
        <v>0.98299999999999998</v>
      </c>
    </row>
    <row r="80" spans="1:7" x14ac:dyDescent="0.3">
      <c r="A80" t="s">
        <v>1519</v>
      </c>
      <c r="B80" t="s">
        <v>746</v>
      </c>
      <c r="C80" t="s">
        <v>1710</v>
      </c>
      <c r="D80" t="s">
        <v>1308</v>
      </c>
      <c r="E80" t="s">
        <v>1711</v>
      </c>
      <c r="F80">
        <v>0.98299999999999998</v>
      </c>
    </row>
    <row r="81" spans="1:8" x14ac:dyDescent="0.3">
      <c r="A81" t="s">
        <v>1519</v>
      </c>
      <c r="B81" t="s">
        <v>747</v>
      </c>
      <c r="C81" t="s">
        <v>1712</v>
      </c>
      <c r="D81" t="s">
        <v>1713</v>
      </c>
      <c r="E81" t="s">
        <v>1714</v>
      </c>
      <c r="F81">
        <v>0.98499999999999999</v>
      </c>
    </row>
    <row r="82" spans="1:8" x14ac:dyDescent="0.3">
      <c r="A82" t="s">
        <v>1519</v>
      </c>
      <c r="B82" t="s">
        <v>748</v>
      </c>
      <c r="C82" t="s">
        <v>1715</v>
      </c>
      <c r="D82" t="s">
        <v>1716</v>
      </c>
      <c r="E82" t="s">
        <v>1717</v>
      </c>
      <c r="F82">
        <v>0.98399999999999999</v>
      </c>
    </row>
    <row r="83" spans="1:8" x14ac:dyDescent="0.3">
      <c r="A83" t="s">
        <v>1519</v>
      </c>
      <c r="B83" t="s">
        <v>749</v>
      </c>
      <c r="C83" t="s">
        <v>885</v>
      </c>
      <c r="D83" t="s">
        <v>1718</v>
      </c>
      <c r="E83" t="s">
        <v>1719</v>
      </c>
      <c r="F83">
        <v>0.98299999999999998</v>
      </c>
    </row>
    <row r="84" spans="1:8" x14ac:dyDescent="0.3">
      <c r="A84" t="s">
        <v>1519</v>
      </c>
      <c r="B84" t="s">
        <v>750</v>
      </c>
      <c r="C84" t="s">
        <v>1720</v>
      </c>
      <c r="D84" t="s">
        <v>1721</v>
      </c>
      <c r="E84" t="s">
        <v>1722</v>
      </c>
      <c r="F84" t="s">
        <v>1723</v>
      </c>
      <c r="G84">
        <v>0.97799999999999998</v>
      </c>
    </row>
    <row r="85" spans="1:8" x14ac:dyDescent="0.3">
      <c r="A85" t="s">
        <v>1519</v>
      </c>
      <c r="B85" t="s">
        <v>751</v>
      </c>
      <c r="C85" t="s">
        <v>887</v>
      </c>
    </row>
    <row r="86" spans="1:8" x14ac:dyDescent="0.3">
      <c r="A86" t="s">
        <v>1519</v>
      </c>
      <c r="B86" t="s">
        <v>752</v>
      </c>
      <c r="C86" t="s">
        <v>1720</v>
      </c>
      <c r="D86" t="s">
        <v>1724</v>
      </c>
      <c r="E86" t="s">
        <v>1725</v>
      </c>
      <c r="F86" t="s">
        <v>1317</v>
      </c>
      <c r="G86" t="s">
        <v>1726</v>
      </c>
      <c r="H86">
        <v>0.97799999999999998</v>
      </c>
    </row>
    <row r="87" spans="1:8" x14ac:dyDescent="0.3">
      <c r="A87" t="s">
        <v>1519</v>
      </c>
      <c r="B87" t="s">
        <v>753</v>
      </c>
      <c r="C87" t="s">
        <v>1720</v>
      </c>
      <c r="D87" t="s">
        <v>1724</v>
      </c>
      <c r="E87" t="s">
        <v>1727</v>
      </c>
      <c r="F87" t="s">
        <v>1320</v>
      </c>
      <c r="G87" t="s">
        <v>1728</v>
      </c>
      <c r="H87">
        <v>0.97799999999999998</v>
      </c>
    </row>
    <row r="88" spans="1:8" x14ac:dyDescent="0.3">
      <c r="A88" t="s">
        <v>1519</v>
      </c>
      <c r="B88" t="s">
        <v>754</v>
      </c>
      <c r="C88" t="s">
        <v>1729</v>
      </c>
      <c r="D88" t="s">
        <v>1730</v>
      </c>
      <c r="E88" t="s">
        <v>1731</v>
      </c>
      <c r="F88" t="s">
        <v>1732</v>
      </c>
      <c r="G88">
        <v>0.95299999999999996</v>
      </c>
    </row>
    <row r="89" spans="1:8" x14ac:dyDescent="0.3">
      <c r="A89" t="s">
        <v>1519</v>
      </c>
      <c r="B89" t="s">
        <v>755</v>
      </c>
      <c r="C89" t="s">
        <v>1729</v>
      </c>
      <c r="D89" t="s">
        <v>1733</v>
      </c>
      <c r="E89" t="s">
        <v>1734</v>
      </c>
      <c r="F89" t="s">
        <v>1735</v>
      </c>
      <c r="G89">
        <v>0.95699999999999996</v>
      </c>
    </row>
    <row r="90" spans="1:8" x14ac:dyDescent="0.3">
      <c r="A90" t="s">
        <v>1519</v>
      </c>
      <c r="B90" t="s">
        <v>756</v>
      </c>
      <c r="C90" t="s">
        <v>1736</v>
      </c>
      <c r="D90" t="s">
        <v>1737</v>
      </c>
      <c r="E90" t="s">
        <v>1331</v>
      </c>
      <c r="F90" t="s">
        <v>1738</v>
      </c>
      <c r="G90">
        <v>0.98499999999999999</v>
      </c>
    </row>
    <row r="91" spans="1:8" x14ac:dyDescent="0.3">
      <c r="A91" t="s">
        <v>1519</v>
      </c>
      <c r="B91" t="s">
        <v>757</v>
      </c>
      <c r="C91" t="s">
        <v>893</v>
      </c>
      <c r="D91" t="s">
        <v>1322</v>
      </c>
      <c r="E91" t="s">
        <v>1739</v>
      </c>
      <c r="F91">
        <v>0.94899999999999995</v>
      </c>
    </row>
    <row r="92" spans="1:8" x14ac:dyDescent="0.3">
      <c r="A92" t="s">
        <v>1519</v>
      </c>
      <c r="B92" t="s">
        <v>758</v>
      </c>
      <c r="C92" t="s">
        <v>894</v>
      </c>
      <c r="D92" t="s">
        <v>1325</v>
      </c>
      <c r="E92" t="s">
        <v>1740</v>
      </c>
      <c r="F92">
        <v>0.96399999999999997</v>
      </c>
    </row>
    <row r="93" spans="1:8" x14ac:dyDescent="0.3">
      <c r="A93" t="s">
        <v>1519</v>
      </c>
      <c r="B93" t="s">
        <v>759</v>
      </c>
      <c r="C93" t="s">
        <v>895</v>
      </c>
      <c r="D93" t="s">
        <v>1328</v>
      </c>
      <c r="E93" t="s">
        <v>1741</v>
      </c>
      <c r="F93">
        <v>0.96599999999999997</v>
      </c>
    </row>
    <row r="94" spans="1:8" x14ac:dyDescent="0.3">
      <c r="A94" t="s">
        <v>1519</v>
      </c>
      <c r="B94" t="s">
        <v>760</v>
      </c>
      <c r="C94" t="s">
        <v>896</v>
      </c>
      <c r="D94" t="s">
        <v>1742</v>
      </c>
      <c r="E94" t="s">
        <v>1743</v>
      </c>
      <c r="F94">
        <v>0.96499999999999997</v>
      </c>
    </row>
    <row r="95" spans="1:8" x14ac:dyDescent="0.3">
      <c r="A95" t="s">
        <v>1519</v>
      </c>
      <c r="B95" t="s">
        <v>761</v>
      </c>
      <c r="C95" t="s">
        <v>897</v>
      </c>
      <c r="D95" t="s">
        <v>1744</v>
      </c>
      <c r="E95" t="s">
        <v>1745</v>
      </c>
      <c r="F95">
        <v>0.97899999999999998</v>
      </c>
    </row>
    <row r="96" spans="1:8" x14ac:dyDescent="0.3">
      <c r="A96" t="s">
        <v>1519</v>
      </c>
      <c r="B96" t="s">
        <v>762</v>
      </c>
      <c r="C96" t="s">
        <v>898</v>
      </c>
      <c r="D96" t="s">
        <v>1746</v>
      </c>
      <c r="E96" t="s">
        <v>1747</v>
      </c>
      <c r="F96">
        <v>0.97799999999999998</v>
      </c>
    </row>
    <row r="97" spans="1:7" x14ac:dyDescent="0.3">
      <c r="A97" t="s">
        <v>1519</v>
      </c>
      <c r="B97" t="s">
        <v>763</v>
      </c>
      <c r="C97" t="s">
        <v>899</v>
      </c>
      <c r="D97" t="s">
        <v>1748</v>
      </c>
      <c r="E97" t="s">
        <v>1749</v>
      </c>
      <c r="F97">
        <v>0.98299999999999998</v>
      </c>
    </row>
    <row r="98" spans="1:7" x14ac:dyDescent="0.3">
      <c r="A98" t="s">
        <v>1519</v>
      </c>
      <c r="B98" t="s">
        <v>764</v>
      </c>
      <c r="C98" t="s">
        <v>900</v>
      </c>
      <c r="D98" t="s">
        <v>1750</v>
      </c>
      <c r="E98" t="s">
        <v>1751</v>
      </c>
      <c r="F98">
        <v>0.98299999999999998</v>
      </c>
    </row>
    <row r="99" spans="1:7" x14ac:dyDescent="0.3">
      <c r="A99" t="s">
        <v>1519</v>
      </c>
      <c r="B99" t="s">
        <v>765</v>
      </c>
      <c r="C99" t="s">
        <v>901</v>
      </c>
      <c r="D99" t="s">
        <v>1752</v>
      </c>
      <c r="E99" t="s">
        <v>1753</v>
      </c>
      <c r="F99">
        <v>0.98599999999999999</v>
      </c>
    </row>
    <row r="100" spans="1:7" x14ac:dyDescent="0.3">
      <c r="A100" t="s">
        <v>1519</v>
      </c>
      <c r="B100" t="s">
        <v>766</v>
      </c>
      <c r="C100" t="s">
        <v>902</v>
      </c>
      <c r="D100" t="s">
        <v>1754</v>
      </c>
      <c r="E100" t="s">
        <v>1755</v>
      </c>
      <c r="F100">
        <v>0.98199999999999998</v>
      </c>
    </row>
    <row r="101" spans="1:7" x14ac:dyDescent="0.3">
      <c r="A101" t="s">
        <v>1519</v>
      </c>
      <c r="B101" t="s">
        <v>767</v>
      </c>
      <c r="C101" t="s">
        <v>903</v>
      </c>
      <c r="D101" t="s">
        <v>1756</v>
      </c>
      <c r="E101" t="s">
        <v>1757</v>
      </c>
      <c r="F101">
        <v>0.98299999999999998</v>
      </c>
    </row>
    <row r="102" spans="1:7" x14ac:dyDescent="0.3">
      <c r="A102" t="s">
        <v>1519</v>
      </c>
      <c r="B102" t="s">
        <v>768</v>
      </c>
      <c r="C102" t="s">
        <v>904</v>
      </c>
      <c r="D102" t="s">
        <v>1758</v>
      </c>
      <c r="E102" t="s">
        <v>1759</v>
      </c>
      <c r="F102">
        <v>0.94899999999999995</v>
      </c>
    </row>
    <row r="103" spans="1:7" x14ac:dyDescent="0.3">
      <c r="A103" t="s">
        <v>1519</v>
      </c>
      <c r="B103" t="s">
        <v>769</v>
      </c>
      <c r="C103" t="s">
        <v>905</v>
      </c>
      <c r="D103" t="s">
        <v>1339</v>
      </c>
      <c r="E103" t="s">
        <v>1760</v>
      </c>
      <c r="F103">
        <v>0.98299999999999998</v>
      </c>
    </row>
    <row r="104" spans="1:7" x14ac:dyDescent="0.3">
      <c r="A104" t="s">
        <v>1519</v>
      </c>
      <c r="B104" t="s">
        <v>770</v>
      </c>
      <c r="C104" t="s">
        <v>906</v>
      </c>
      <c r="D104" t="s">
        <v>1761</v>
      </c>
      <c r="E104" t="s">
        <v>1762</v>
      </c>
      <c r="F104">
        <v>0.95499999999999996</v>
      </c>
    </row>
    <row r="105" spans="1:7" x14ac:dyDescent="0.3">
      <c r="A105" t="s">
        <v>1519</v>
      </c>
      <c r="B105" t="s">
        <v>771</v>
      </c>
      <c r="C105" t="s">
        <v>907</v>
      </c>
      <c r="D105" t="s">
        <v>1763</v>
      </c>
      <c r="E105" t="s">
        <v>1764</v>
      </c>
      <c r="F105">
        <v>0.95599999999999996</v>
      </c>
    </row>
    <row r="106" spans="1:7" x14ac:dyDescent="0.3">
      <c r="A106" t="s">
        <v>1519</v>
      </c>
      <c r="B106" t="s">
        <v>772</v>
      </c>
      <c r="C106" t="s">
        <v>908</v>
      </c>
      <c r="D106" t="s">
        <v>1765</v>
      </c>
      <c r="E106" t="s">
        <v>1766</v>
      </c>
      <c r="F106">
        <v>0.95899999999999996</v>
      </c>
    </row>
    <row r="107" spans="1:7" x14ac:dyDescent="0.3">
      <c r="A107" t="s">
        <v>1519</v>
      </c>
      <c r="B107" t="s">
        <v>773</v>
      </c>
      <c r="C107" t="s">
        <v>909</v>
      </c>
      <c r="D107" t="s">
        <v>1767</v>
      </c>
      <c r="E107" t="s">
        <v>1768</v>
      </c>
      <c r="F107">
        <v>0.96399999999999997</v>
      </c>
    </row>
    <row r="108" spans="1:7" x14ac:dyDescent="0.3">
      <c r="A108" t="s">
        <v>1519</v>
      </c>
      <c r="B108" t="s">
        <v>774</v>
      </c>
      <c r="C108" t="s">
        <v>910</v>
      </c>
      <c r="D108" t="s">
        <v>1769</v>
      </c>
      <c r="E108" t="s">
        <v>1770</v>
      </c>
      <c r="F108">
        <v>0.96299999999999997</v>
      </c>
    </row>
    <row r="109" spans="1:7" x14ac:dyDescent="0.3">
      <c r="A109" t="s">
        <v>1519</v>
      </c>
      <c r="B109" t="s">
        <v>775</v>
      </c>
      <c r="C109" t="s">
        <v>911</v>
      </c>
      <c r="D109" t="s">
        <v>1771</v>
      </c>
      <c r="E109" t="s">
        <v>1772</v>
      </c>
      <c r="F109">
        <v>0.95199999999999996</v>
      </c>
    </row>
    <row r="110" spans="1:7" x14ac:dyDescent="0.3">
      <c r="A110" t="s">
        <v>1519</v>
      </c>
      <c r="B110" t="s">
        <v>776</v>
      </c>
      <c r="C110" t="s">
        <v>1773</v>
      </c>
      <c r="D110" t="s">
        <v>1774</v>
      </c>
      <c r="E110" t="s">
        <v>1775</v>
      </c>
      <c r="F110" t="s">
        <v>1776</v>
      </c>
      <c r="G110">
        <v>0.96399999999999997</v>
      </c>
    </row>
    <row r="111" spans="1:7" x14ac:dyDescent="0.3">
      <c r="A111" t="s">
        <v>1519</v>
      </c>
      <c r="B111" t="s">
        <v>777</v>
      </c>
      <c r="C111" t="s">
        <v>913</v>
      </c>
      <c r="D111" t="s">
        <v>1777</v>
      </c>
      <c r="E111" t="s">
        <v>1778</v>
      </c>
      <c r="F111">
        <v>0.97199999999999998</v>
      </c>
    </row>
    <row r="112" spans="1:7" x14ac:dyDescent="0.3">
      <c r="A112" t="s">
        <v>1519</v>
      </c>
      <c r="B112" t="s">
        <v>778</v>
      </c>
      <c r="C112" t="s">
        <v>914</v>
      </c>
      <c r="D112" t="s">
        <v>1779</v>
      </c>
      <c r="E112" t="s">
        <v>1780</v>
      </c>
      <c r="F112">
        <v>0.96899999999999997</v>
      </c>
    </row>
    <row r="113" spans="1:9" x14ac:dyDescent="0.3">
      <c r="A113" t="s">
        <v>1519</v>
      </c>
      <c r="B113" t="s">
        <v>779</v>
      </c>
      <c r="C113" t="s">
        <v>915</v>
      </c>
      <c r="D113" t="s">
        <v>1781</v>
      </c>
      <c r="E113" t="s">
        <v>1782</v>
      </c>
      <c r="F113">
        <v>0.96399999999999997</v>
      </c>
    </row>
    <row r="114" spans="1:9" x14ac:dyDescent="0.3">
      <c r="A114" t="s">
        <v>1519</v>
      </c>
      <c r="B114" t="s">
        <v>780</v>
      </c>
      <c r="C114" t="s">
        <v>916</v>
      </c>
      <c r="D114" t="s">
        <v>1783</v>
      </c>
      <c r="E114" t="s">
        <v>1784</v>
      </c>
      <c r="F114">
        <v>0.96199999999999997</v>
      </c>
    </row>
    <row r="115" spans="1:9" x14ac:dyDescent="0.3">
      <c r="A115" t="s">
        <v>1519</v>
      </c>
      <c r="B115" t="s">
        <v>781</v>
      </c>
      <c r="C115" t="s">
        <v>917</v>
      </c>
      <c r="D115" t="s">
        <v>1785</v>
      </c>
      <c r="E115" t="s">
        <v>1786</v>
      </c>
      <c r="F115">
        <v>0.96599999999999997</v>
      </c>
    </row>
    <row r="116" spans="1:9" x14ac:dyDescent="0.3">
      <c r="A116" t="s">
        <v>1519</v>
      </c>
      <c r="B116" t="s">
        <v>782</v>
      </c>
      <c r="C116" t="s">
        <v>918</v>
      </c>
      <c r="D116" t="s">
        <v>1787</v>
      </c>
      <c r="E116" t="s">
        <v>1788</v>
      </c>
      <c r="F116">
        <v>0.96</v>
      </c>
    </row>
    <row r="117" spans="1:9" x14ac:dyDescent="0.3">
      <c r="A117" t="s">
        <v>1519</v>
      </c>
      <c r="B117" t="s">
        <v>783</v>
      </c>
      <c r="C117" t="s">
        <v>919</v>
      </c>
      <c r="D117" t="s">
        <v>1789</v>
      </c>
      <c r="E117" t="s">
        <v>1790</v>
      </c>
      <c r="F117">
        <v>0.97199999999999998</v>
      </c>
    </row>
    <row r="118" spans="1:9" x14ac:dyDescent="0.3">
      <c r="A118" t="s">
        <v>1519</v>
      </c>
      <c r="B118" t="s">
        <v>784</v>
      </c>
      <c r="C118" t="s">
        <v>920</v>
      </c>
      <c r="D118" t="s">
        <v>1791</v>
      </c>
      <c r="E118" t="s">
        <v>1792</v>
      </c>
      <c r="F118">
        <v>0.97099999999999997</v>
      </c>
    </row>
    <row r="119" spans="1:9" x14ac:dyDescent="0.3">
      <c r="A119" t="s">
        <v>1519</v>
      </c>
      <c r="B119" t="s">
        <v>785</v>
      </c>
      <c r="C119" t="s">
        <v>921</v>
      </c>
      <c r="D119" t="s">
        <v>1793</v>
      </c>
      <c r="E119" t="s">
        <v>1794</v>
      </c>
      <c r="F119">
        <v>0.96799999999999997</v>
      </c>
    </row>
    <row r="120" spans="1:9" x14ac:dyDescent="0.3">
      <c r="A120" t="s">
        <v>1519</v>
      </c>
      <c r="B120" t="s">
        <v>786</v>
      </c>
      <c r="C120" t="s">
        <v>922</v>
      </c>
      <c r="D120" t="s">
        <v>1795</v>
      </c>
      <c r="E120" t="s">
        <v>1796</v>
      </c>
      <c r="F120">
        <v>0.96799999999999997</v>
      </c>
    </row>
    <row r="121" spans="1:9" x14ac:dyDescent="0.3">
      <c r="A121" t="s">
        <v>1519</v>
      </c>
      <c r="B121" t="s">
        <v>787</v>
      </c>
      <c r="C121" t="s">
        <v>923</v>
      </c>
      <c r="D121" t="s">
        <v>1797</v>
      </c>
      <c r="E121" t="s">
        <v>1798</v>
      </c>
      <c r="F121">
        <v>0.95</v>
      </c>
    </row>
    <row r="122" spans="1:9" x14ac:dyDescent="0.3">
      <c r="A122" t="s">
        <v>1519</v>
      </c>
      <c r="B122" t="s">
        <v>788</v>
      </c>
      <c r="C122" t="s">
        <v>1799</v>
      </c>
      <c r="D122" t="s">
        <v>1800</v>
      </c>
      <c r="E122" t="s">
        <v>1345</v>
      </c>
      <c r="F122" t="s">
        <v>1801</v>
      </c>
      <c r="G122">
        <v>0.96499999999999997</v>
      </c>
    </row>
    <row r="123" spans="1:9" x14ac:dyDescent="0.3">
      <c r="A123" t="s">
        <v>1519</v>
      </c>
      <c r="B123" t="s">
        <v>789</v>
      </c>
      <c r="C123" t="s">
        <v>1799</v>
      </c>
      <c r="D123" t="s">
        <v>1802</v>
      </c>
      <c r="E123" t="s">
        <v>1348</v>
      </c>
      <c r="F123" t="s">
        <v>1803</v>
      </c>
      <c r="G123">
        <v>0.96899999999999997</v>
      </c>
    </row>
    <row r="124" spans="1:9" x14ac:dyDescent="0.3">
      <c r="A124" t="s">
        <v>1519</v>
      </c>
      <c r="B124" t="s">
        <v>790</v>
      </c>
      <c r="C124" t="s">
        <v>1799</v>
      </c>
      <c r="D124" t="s">
        <v>1804</v>
      </c>
      <c r="E124" t="s">
        <v>1351</v>
      </c>
      <c r="F124" t="s">
        <v>1805</v>
      </c>
      <c r="G124">
        <v>0.97099999999999997</v>
      </c>
    </row>
    <row r="125" spans="1:9" x14ac:dyDescent="0.3">
      <c r="A125" t="s">
        <v>1519</v>
      </c>
      <c r="B125" t="s">
        <v>791</v>
      </c>
      <c r="C125" t="s">
        <v>927</v>
      </c>
      <c r="D125" t="s">
        <v>1806</v>
      </c>
      <c r="E125" t="s">
        <v>1807</v>
      </c>
      <c r="F125">
        <v>0.96199999999999997</v>
      </c>
    </row>
    <row r="126" spans="1:9" x14ac:dyDescent="0.3">
      <c r="A126" t="s">
        <v>1519</v>
      </c>
      <c r="B126" t="s">
        <v>792</v>
      </c>
      <c r="C126" t="s">
        <v>1670</v>
      </c>
      <c r="D126" t="s">
        <v>1808</v>
      </c>
      <c r="E126" t="s">
        <v>1809</v>
      </c>
      <c r="F126" t="s">
        <v>1810</v>
      </c>
      <c r="G126" t="s">
        <v>1811</v>
      </c>
      <c r="H126" t="s">
        <v>1812</v>
      </c>
      <c r="I126">
        <v>0.95</v>
      </c>
    </row>
    <row r="127" spans="1:9" x14ac:dyDescent="0.3">
      <c r="A127" t="s">
        <v>1519</v>
      </c>
      <c r="B127" t="s">
        <v>793</v>
      </c>
      <c r="C127" t="s">
        <v>929</v>
      </c>
      <c r="D127" t="s">
        <v>1357</v>
      </c>
      <c r="E127" t="s">
        <v>1813</v>
      </c>
      <c r="F127">
        <v>0.98699999999999999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6B8D-A2BB-4264-9261-502A6689932D}">
  <dimension ref="A1:K127"/>
  <sheetViews>
    <sheetView tabSelected="1" workbookViewId="0">
      <selection sqref="A1:D1048576"/>
    </sheetView>
  </sheetViews>
  <sheetFormatPr defaultRowHeight="14.4" x14ac:dyDescent="0.3"/>
  <cols>
    <col min="4" max="4" width="34.88671875" customWidth="1"/>
  </cols>
  <sheetData>
    <row r="1" spans="1:10" x14ac:dyDescent="0.3">
      <c r="A1" t="s">
        <v>1116</v>
      </c>
      <c r="B1" t="s">
        <v>1117</v>
      </c>
      <c r="C1" t="s">
        <v>1118</v>
      </c>
      <c r="D1" t="s">
        <v>1119</v>
      </c>
      <c r="E1" t="s">
        <v>1120</v>
      </c>
      <c r="F1" t="s">
        <v>1518</v>
      </c>
    </row>
    <row r="2" spans="1:10" x14ac:dyDescent="0.3">
      <c r="A2" t="s">
        <v>1519</v>
      </c>
      <c r="B2" t="s">
        <v>668</v>
      </c>
      <c r="C2" t="s">
        <v>804</v>
      </c>
    </row>
    <row r="3" spans="1:10" x14ac:dyDescent="0.3">
      <c r="A3" t="s">
        <v>1519</v>
      </c>
      <c r="B3" t="s">
        <v>669</v>
      </c>
      <c r="C3" t="s">
        <v>805</v>
      </c>
      <c r="D3" t="s">
        <v>1520</v>
      </c>
      <c r="E3" t="s">
        <v>1521</v>
      </c>
      <c r="F3">
        <v>0.83499999999999996</v>
      </c>
    </row>
    <row r="4" spans="1:10" x14ac:dyDescent="0.3">
      <c r="A4" t="s">
        <v>1519</v>
      </c>
      <c r="B4" t="s">
        <v>670</v>
      </c>
      <c r="C4" t="s">
        <v>806</v>
      </c>
      <c r="D4" t="s">
        <v>1522</v>
      </c>
      <c r="E4" t="s">
        <v>1523</v>
      </c>
      <c r="F4">
        <v>0.94899999999999995</v>
      </c>
    </row>
    <row r="5" spans="1:10" x14ac:dyDescent="0.3">
      <c r="A5" t="s">
        <v>1519</v>
      </c>
      <c r="B5" t="s">
        <v>671</v>
      </c>
      <c r="C5" t="s">
        <v>942</v>
      </c>
      <c r="D5" t="s">
        <v>1524</v>
      </c>
      <c r="E5" t="s">
        <v>1131</v>
      </c>
      <c r="F5" t="s">
        <v>1524</v>
      </c>
      <c r="G5" t="s">
        <v>1525</v>
      </c>
      <c r="H5">
        <v>0.81100000000000005</v>
      </c>
    </row>
    <row r="6" spans="1:10" x14ac:dyDescent="0.3">
      <c r="A6" t="s">
        <v>1519</v>
      </c>
      <c r="B6" t="s">
        <v>672</v>
      </c>
      <c r="C6" t="s">
        <v>1526</v>
      </c>
      <c r="D6" t="s">
        <v>1528</v>
      </c>
      <c r="E6" t="s">
        <v>1527</v>
      </c>
      <c r="F6" t="s">
        <v>10</v>
      </c>
      <c r="G6" t="s">
        <v>1134</v>
      </c>
      <c r="H6" t="s">
        <v>1528</v>
      </c>
      <c r="I6" t="s">
        <v>1529</v>
      </c>
      <c r="J6">
        <v>0.72799999999999998</v>
      </c>
    </row>
    <row r="7" spans="1:10" x14ac:dyDescent="0.3">
      <c r="A7" t="s">
        <v>1519</v>
      </c>
      <c r="B7" t="s">
        <v>673</v>
      </c>
      <c r="C7" t="s">
        <v>809</v>
      </c>
      <c r="D7" t="s">
        <v>1530</v>
      </c>
      <c r="E7" t="s">
        <v>1531</v>
      </c>
      <c r="F7">
        <v>0.82799999999999996</v>
      </c>
    </row>
    <row r="8" spans="1:10" x14ac:dyDescent="0.3">
      <c r="A8" t="s">
        <v>1519</v>
      </c>
      <c r="B8" t="s">
        <v>674</v>
      </c>
      <c r="C8" t="s">
        <v>810</v>
      </c>
      <c r="D8" t="s">
        <v>1532</v>
      </c>
      <c r="E8" t="s">
        <v>1533</v>
      </c>
      <c r="F8">
        <v>0.93700000000000006</v>
      </c>
    </row>
    <row r="9" spans="1:10" x14ac:dyDescent="0.3">
      <c r="A9" t="s">
        <v>1519</v>
      </c>
      <c r="B9" t="s">
        <v>675</v>
      </c>
      <c r="C9" t="s">
        <v>1534</v>
      </c>
      <c r="D9" t="s">
        <v>1139</v>
      </c>
      <c r="E9" t="s">
        <v>1536</v>
      </c>
      <c r="F9" t="s">
        <v>1537</v>
      </c>
      <c r="G9" t="s">
        <v>1131</v>
      </c>
      <c r="H9" t="s">
        <v>1139</v>
      </c>
      <c r="I9" t="s">
        <v>1538</v>
      </c>
      <c r="J9">
        <v>0.80100000000000005</v>
      </c>
    </row>
    <row r="10" spans="1:10" x14ac:dyDescent="0.3">
      <c r="A10" t="s">
        <v>1519</v>
      </c>
      <c r="B10" t="s">
        <v>676</v>
      </c>
      <c r="C10" t="s">
        <v>812</v>
      </c>
      <c r="D10" t="s">
        <v>1539</v>
      </c>
      <c r="E10" t="s">
        <v>1540</v>
      </c>
      <c r="F10">
        <v>0.97599999999999998</v>
      </c>
    </row>
    <row r="11" spans="1:10" x14ac:dyDescent="0.3">
      <c r="A11" t="s">
        <v>1519</v>
      </c>
      <c r="B11" t="s">
        <v>677</v>
      </c>
      <c r="C11" t="s">
        <v>1541</v>
      </c>
      <c r="D11" t="s">
        <v>1143</v>
      </c>
      <c r="E11" t="s">
        <v>1542</v>
      </c>
      <c r="F11" t="s">
        <v>1143</v>
      </c>
      <c r="G11" t="s">
        <v>1543</v>
      </c>
      <c r="H11">
        <v>0.94899999999999995</v>
      </c>
    </row>
    <row r="12" spans="1:10" x14ac:dyDescent="0.3">
      <c r="A12" t="s">
        <v>1519</v>
      </c>
      <c r="B12" t="s">
        <v>678</v>
      </c>
      <c r="C12" t="s">
        <v>814</v>
      </c>
      <c r="D12" t="s">
        <v>1127</v>
      </c>
      <c r="E12" t="s">
        <v>1128</v>
      </c>
      <c r="F12">
        <v>0.91500000000000004</v>
      </c>
    </row>
    <row r="13" spans="1:10" x14ac:dyDescent="0.3">
      <c r="A13" t="s">
        <v>1519</v>
      </c>
      <c r="B13" t="s">
        <v>679</v>
      </c>
      <c r="C13" t="s">
        <v>815</v>
      </c>
      <c r="D13" t="s">
        <v>1544</v>
      </c>
      <c r="E13" t="s">
        <v>1545</v>
      </c>
      <c r="F13">
        <v>0.86499999999999999</v>
      </c>
    </row>
    <row r="14" spans="1:10" x14ac:dyDescent="0.3">
      <c r="A14" t="s">
        <v>1519</v>
      </c>
      <c r="B14" t="s">
        <v>680</v>
      </c>
      <c r="C14" t="s">
        <v>1148</v>
      </c>
      <c r="D14" t="s">
        <v>1546</v>
      </c>
      <c r="E14" t="s">
        <v>1546</v>
      </c>
      <c r="F14" t="s">
        <v>1547</v>
      </c>
      <c r="G14">
        <v>0.92800000000000005</v>
      </c>
    </row>
    <row r="15" spans="1:10" x14ac:dyDescent="0.3">
      <c r="A15" t="s">
        <v>1519</v>
      </c>
      <c r="B15" t="s">
        <v>681</v>
      </c>
      <c r="C15" t="s">
        <v>1548</v>
      </c>
      <c r="D15" t="s">
        <v>1551</v>
      </c>
      <c r="E15" t="s">
        <v>1550</v>
      </c>
      <c r="F15" t="s">
        <v>1551</v>
      </c>
      <c r="G15" t="s">
        <v>1552</v>
      </c>
      <c r="H15" t="s">
        <v>1553</v>
      </c>
      <c r="I15">
        <v>0.872</v>
      </c>
    </row>
    <row r="16" spans="1:10" x14ac:dyDescent="0.3">
      <c r="A16" t="s">
        <v>1519</v>
      </c>
      <c r="B16" t="s">
        <v>682</v>
      </c>
      <c r="C16" t="s">
        <v>818</v>
      </c>
    </row>
    <row r="17" spans="1:10" x14ac:dyDescent="0.3">
      <c r="A17" t="s">
        <v>1519</v>
      </c>
      <c r="B17" t="s">
        <v>683</v>
      </c>
      <c r="C17" t="s">
        <v>1554</v>
      </c>
      <c r="D17" t="s">
        <v>1556</v>
      </c>
      <c r="E17" t="s">
        <v>1555</v>
      </c>
      <c r="F17" t="s">
        <v>1556</v>
      </c>
      <c r="G17" t="s">
        <v>1557</v>
      </c>
      <c r="H17">
        <v>0.95899999999999996</v>
      </c>
    </row>
    <row r="18" spans="1:10" x14ac:dyDescent="0.3">
      <c r="A18" t="s">
        <v>1519</v>
      </c>
      <c r="B18" t="s">
        <v>684</v>
      </c>
      <c r="C18" t="s">
        <v>820</v>
      </c>
      <c r="D18" t="s">
        <v>1558</v>
      </c>
      <c r="E18" t="s">
        <v>1559</v>
      </c>
      <c r="F18">
        <v>0.97599999999999998</v>
      </c>
    </row>
    <row r="19" spans="1:10" x14ac:dyDescent="0.3">
      <c r="A19" t="s">
        <v>1519</v>
      </c>
      <c r="B19" t="s">
        <v>685</v>
      </c>
      <c r="C19" t="s">
        <v>821</v>
      </c>
      <c r="D19" t="s">
        <v>1560</v>
      </c>
      <c r="E19" t="s">
        <v>1561</v>
      </c>
      <c r="F19">
        <v>0.94</v>
      </c>
    </row>
    <row r="20" spans="1:10" x14ac:dyDescent="0.3">
      <c r="A20" t="s">
        <v>1519</v>
      </c>
      <c r="B20" t="s">
        <v>686</v>
      </c>
      <c r="C20" t="s">
        <v>822</v>
      </c>
      <c r="D20" t="s">
        <v>1562</v>
      </c>
      <c r="E20" t="s">
        <v>1563</v>
      </c>
      <c r="F20">
        <v>0.95599999999999996</v>
      </c>
    </row>
    <row r="21" spans="1:10" x14ac:dyDescent="0.3">
      <c r="A21" t="s">
        <v>1519</v>
      </c>
      <c r="B21" t="s">
        <v>687</v>
      </c>
      <c r="C21" t="s">
        <v>1564</v>
      </c>
      <c r="D21" t="s">
        <v>1567</v>
      </c>
      <c r="E21" t="s">
        <v>1566</v>
      </c>
      <c r="F21" t="s">
        <v>1567</v>
      </c>
      <c r="G21" t="s">
        <v>1568</v>
      </c>
      <c r="H21">
        <v>0.94399999999999995</v>
      </c>
    </row>
    <row r="22" spans="1:10" x14ac:dyDescent="0.3">
      <c r="A22" t="s">
        <v>1519</v>
      </c>
      <c r="B22" t="s">
        <v>688</v>
      </c>
      <c r="C22" t="s">
        <v>824</v>
      </c>
      <c r="D22" t="s">
        <v>1569</v>
      </c>
      <c r="E22" t="s">
        <v>1570</v>
      </c>
      <c r="F22">
        <v>0.97799999999999998</v>
      </c>
    </row>
    <row r="23" spans="1:10" x14ac:dyDescent="0.3">
      <c r="A23" t="s">
        <v>1519</v>
      </c>
      <c r="B23" t="s">
        <v>689</v>
      </c>
      <c r="C23" t="s">
        <v>825</v>
      </c>
      <c r="D23" t="s">
        <v>1571</v>
      </c>
      <c r="E23" t="s">
        <v>1572</v>
      </c>
      <c r="F23">
        <v>0.97399999999999998</v>
      </c>
    </row>
    <row r="24" spans="1:10" x14ac:dyDescent="0.3">
      <c r="A24" t="s">
        <v>1519</v>
      </c>
      <c r="B24" t="s">
        <v>690</v>
      </c>
      <c r="C24" t="s">
        <v>1573</v>
      </c>
      <c r="D24" t="s">
        <v>1575</v>
      </c>
      <c r="E24" t="s">
        <v>39</v>
      </c>
      <c r="F24" t="s">
        <v>1574</v>
      </c>
      <c r="G24" t="s">
        <v>1575</v>
      </c>
      <c r="H24" t="s">
        <v>1576</v>
      </c>
      <c r="I24">
        <v>0.97199999999999998</v>
      </c>
    </row>
    <row r="25" spans="1:10" x14ac:dyDescent="0.3">
      <c r="A25" t="s">
        <v>1519</v>
      </c>
      <c r="B25" t="s">
        <v>691</v>
      </c>
      <c r="C25" t="s">
        <v>827</v>
      </c>
      <c r="D25" t="s">
        <v>1577</v>
      </c>
      <c r="E25" t="s">
        <v>1578</v>
      </c>
      <c r="F25">
        <v>0.98099999999999998</v>
      </c>
    </row>
    <row r="26" spans="1:10" x14ac:dyDescent="0.3">
      <c r="A26" t="s">
        <v>1519</v>
      </c>
      <c r="B26" t="s">
        <v>692</v>
      </c>
      <c r="C26" t="s">
        <v>1579</v>
      </c>
      <c r="D26" t="s">
        <v>1583</v>
      </c>
      <c r="E26" t="s">
        <v>1581</v>
      </c>
      <c r="F26" t="s">
        <v>1582</v>
      </c>
      <c r="G26" t="s">
        <v>1555</v>
      </c>
      <c r="H26" t="s">
        <v>1583</v>
      </c>
      <c r="I26" t="s">
        <v>1584</v>
      </c>
      <c r="J26">
        <v>0.97799999999999998</v>
      </c>
    </row>
    <row r="27" spans="1:10" x14ac:dyDescent="0.3">
      <c r="A27" t="s">
        <v>1519</v>
      </c>
      <c r="B27" t="s">
        <v>693</v>
      </c>
      <c r="C27" t="s">
        <v>829</v>
      </c>
      <c r="D27" t="s">
        <v>1585</v>
      </c>
      <c r="E27" t="s">
        <v>1586</v>
      </c>
      <c r="F27">
        <v>0.97099999999999997</v>
      </c>
    </row>
    <row r="28" spans="1:10" x14ac:dyDescent="0.3">
      <c r="A28" t="s">
        <v>1519</v>
      </c>
      <c r="B28" t="s">
        <v>694</v>
      </c>
      <c r="C28" t="s">
        <v>830</v>
      </c>
      <c r="D28" t="s">
        <v>1587</v>
      </c>
      <c r="E28" t="s">
        <v>1588</v>
      </c>
      <c r="F28">
        <v>0.92200000000000004</v>
      </c>
    </row>
    <row r="29" spans="1:10" x14ac:dyDescent="0.3">
      <c r="A29" t="s">
        <v>1519</v>
      </c>
      <c r="B29" t="s">
        <v>695</v>
      </c>
      <c r="C29" t="s">
        <v>831</v>
      </c>
      <c r="D29" t="s">
        <v>1589</v>
      </c>
      <c r="E29" t="s">
        <v>1590</v>
      </c>
      <c r="F29">
        <v>0.96199999999999997</v>
      </c>
    </row>
    <row r="30" spans="1:10" x14ac:dyDescent="0.3">
      <c r="A30" t="s">
        <v>1519</v>
      </c>
      <c r="B30" t="s">
        <v>696</v>
      </c>
      <c r="C30" t="s">
        <v>832</v>
      </c>
      <c r="D30" t="s">
        <v>1591</v>
      </c>
      <c r="E30" t="s">
        <v>1592</v>
      </c>
      <c r="F30">
        <v>0.94</v>
      </c>
    </row>
    <row r="31" spans="1:10" x14ac:dyDescent="0.3">
      <c r="A31" t="s">
        <v>1519</v>
      </c>
      <c r="B31" t="s">
        <v>697</v>
      </c>
      <c r="C31" t="s">
        <v>833</v>
      </c>
      <c r="D31" t="s">
        <v>1593</v>
      </c>
      <c r="E31" t="s">
        <v>1594</v>
      </c>
      <c r="F31">
        <v>0.97199999999999998</v>
      </c>
    </row>
    <row r="32" spans="1:10" x14ac:dyDescent="0.3">
      <c r="A32" t="s">
        <v>1519</v>
      </c>
      <c r="B32" t="s">
        <v>698</v>
      </c>
      <c r="C32" t="s">
        <v>1595</v>
      </c>
      <c r="D32" t="s">
        <v>1597</v>
      </c>
      <c r="E32" t="s">
        <v>1596</v>
      </c>
      <c r="F32" t="s">
        <v>1597</v>
      </c>
      <c r="G32" t="s">
        <v>1598</v>
      </c>
      <c r="H32">
        <v>0.94299999999999995</v>
      </c>
    </row>
    <row r="33" spans="1:10" x14ac:dyDescent="0.3">
      <c r="A33" t="s">
        <v>1519</v>
      </c>
      <c r="B33" t="s">
        <v>699</v>
      </c>
      <c r="C33" t="s">
        <v>835</v>
      </c>
      <c r="D33" t="s">
        <v>1599</v>
      </c>
      <c r="E33" t="s">
        <v>1600</v>
      </c>
      <c r="F33">
        <v>0.96899999999999997</v>
      </c>
    </row>
    <row r="34" spans="1:10" x14ac:dyDescent="0.3">
      <c r="A34" t="s">
        <v>1519</v>
      </c>
      <c r="B34" t="s">
        <v>700</v>
      </c>
      <c r="C34" t="s">
        <v>836</v>
      </c>
      <c r="D34" t="s">
        <v>1601</v>
      </c>
      <c r="E34" t="s">
        <v>1602</v>
      </c>
      <c r="F34">
        <v>0.97499999999999998</v>
      </c>
    </row>
    <row r="35" spans="1:10" x14ac:dyDescent="0.3">
      <c r="A35" t="s">
        <v>1519</v>
      </c>
      <c r="B35" t="s">
        <v>701</v>
      </c>
      <c r="C35" t="s">
        <v>1603</v>
      </c>
      <c r="D35" t="s">
        <v>1605</v>
      </c>
      <c r="E35" t="s">
        <v>1605</v>
      </c>
      <c r="F35" t="s">
        <v>1606</v>
      </c>
      <c r="G35">
        <v>0.97599999999999998</v>
      </c>
    </row>
    <row r="36" spans="1:10" x14ac:dyDescent="0.3">
      <c r="A36" t="s">
        <v>1519</v>
      </c>
      <c r="B36" t="s">
        <v>702</v>
      </c>
      <c r="C36" t="s">
        <v>1607</v>
      </c>
      <c r="D36" t="s">
        <v>1611</v>
      </c>
      <c r="E36" t="s">
        <v>1609</v>
      </c>
      <c r="F36" t="s">
        <v>1610</v>
      </c>
      <c r="G36" t="s">
        <v>1555</v>
      </c>
      <c r="H36" t="s">
        <v>1611</v>
      </c>
      <c r="I36" t="s">
        <v>1612</v>
      </c>
      <c r="J36">
        <v>0.95799999999999996</v>
      </c>
    </row>
    <row r="37" spans="1:10" x14ac:dyDescent="0.3">
      <c r="A37" t="s">
        <v>1519</v>
      </c>
      <c r="B37" t="s">
        <v>703</v>
      </c>
      <c r="C37" t="s">
        <v>839</v>
      </c>
      <c r="D37" t="s">
        <v>1613</v>
      </c>
      <c r="E37" t="s">
        <v>1614</v>
      </c>
      <c r="F37">
        <v>0.98099999999999998</v>
      </c>
    </row>
    <row r="38" spans="1:10" x14ac:dyDescent="0.3">
      <c r="A38" t="s">
        <v>1519</v>
      </c>
      <c r="B38" t="s">
        <v>704</v>
      </c>
      <c r="C38" t="s">
        <v>1615</v>
      </c>
      <c r="D38" t="s">
        <v>1617</v>
      </c>
      <c r="E38" t="s">
        <v>1617</v>
      </c>
      <c r="F38" t="s">
        <v>1618</v>
      </c>
      <c r="G38">
        <v>0.96399999999999997</v>
      </c>
    </row>
    <row r="39" spans="1:10" x14ac:dyDescent="0.3">
      <c r="A39" t="s">
        <v>1519</v>
      </c>
      <c r="B39" t="s">
        <v>705</v>
      </c>
      <c r="C39" t="s">
        <v>1619</v>
      </c>
      <c r="D39" t="s">
        <v>1621</v>
      </c>
      <c r="E39" t="s">
        <v>1621</v>
      </c>
      <c r="F39" t="s">
        <v>1622</v>
      </c>
      <c r="G39">
        <v>0.96699999999999997</v>
      </c>
    </row>
    <row r="40" spans="1:10" x14ac:dyDescent="0.3">
      <c r="A40" t="s">
        <v>1519</v>
      </c>
      <c r="B40" t="s">
        <v>706</v>
      </c>
      <c r="C40" t="s">
        <v>842</v>
      </c>
      <c r="D40" t="s">
        <v>1623</v>
      </c>
      <c r="E40" t="s">
        <v>1624</v>
      </c>
      <c r="F40">
        <v>0.96699999999999997</v>
      </c>
    </row>
    <row r="41" spans="1:10" x14ac:dyDescent="0.3">
      <c r="A41" t="s">
        <v>1519</v>
      </c>
      <c r="B41" t="s">
        <v>707</v>
      </c>
      <c r="C41" t="s">
        <v>1625</v>
      </c>
      <c r="D41" t="s">
        <v>1627</v>
      </c>
      <c r="E41" t="s">
        <v>1627</v>
      </c>
      <c r="F41" t="s">
        <v>1628</v>
      </c>
      <c r="G41">
        <v>0.96799999999999997</v>
      </c>
    </row>
    <row r="42" spans="1:10" x14ac:dyDescent="0.3">
      <c r="A42" t="s">
        <v>1519</v>
      </c>
      <c r="B42" t="s">
        <v>708</v>
      </c>
      <c r="C42" t="s">
        <v>1629</v>
      </c>
      <c r="D42" t="s">
        <v>1632</v>
      </c>
      <c r="E42" t="s">
        <v>1631</v>
      </c>
      <c r="F42" t="s">
        <v>1632</v>
      </c>
      <c r="G42" t="s">
        <v>1633</v>
      </c>
      <c r="H42">
        <v>0.95599999999999996</v>
      </c>
    </row>
    <row r="43" spans="1:10" x14ac:dyDescent="0.3">
      <c r="A43" t="s">
        <v>1519</v>
      </c>
      <c r="B43" t="s">
        <v>709</v>
      </c>
      <c r="C43" t="s">
        <v>1634</v>
      </c>
      <c r="D43" t="s">
        <v>1636</v>
      </c>
      <c r="E43" t="s">
        <v>1636</v>
      </c>
      <c r="F43" t="s">
        <v>1637</v>
      </c>
      <c r="G43">
        <v>0.94399999999999995</v>
      </c>
    </row>
    <row r="44" spans="1:10" x14ac:dyDescent="0.3">
      <c r="A44" t="s">
        <v>1519</v>
      </c>
      <c r="B44" t="s">
        <v>710</v>
      </c>
      <c r="C44" t="s">
        <v>846</v>
      </c>
      <c r="D44" t="s">
        <v>1638</v>
      </c>
      <c r="E44" t="s">
        <v>1639</v>
      </c>
      <c r="F44">
        <v>0.97299999999999998</v>
      </c>
    </row>
    <row r="45" spans="1:10" x14ac:dyDescent="0.3">
      <c r="A45" t="s">
        <v>1519</v>
      </c>
      <c r="B45" t="s">
        <v>711</v>
      </c>
      <c r="C45" t="s">
        <v>847</v>
      </c>
      <c r="D45" t="s">
        <v>1640</v>
      </c>
      <c r="E45" t="s">
        <v>1641</v>
      </c>
      <c r="F45">
        <v>0.97299999999999998</v>
      </c>
    </row>
    <row r="46" spans="1:10" x14ac:dyDescent="0.3">
      <c r="A46" t="s">
        <v>1519</v>
      </c>
      <c r="B46" t="s">
        <v>712</v>
      </c>
      <c r="C46" t="s">
        <v>848</v>
      </c>
      <c r="D46" t="s">
        <v>1642</v>
      </c>
      <c r="E46" t="s">
        <v>1643</v>
      </c>
      <c r="F46">
        <v>0.97599999999999998</v>
      </c>
    </row>
    <row r="47" spans="1:10" x14ac:dyDescent="0.3">
      <c r="A47" t="s">
        <v>1519</v>
      </c>
      <c r="B47" t="s">
        <v>713</v>
      </c>
      <c r="C47" t="s">
        <v>849</v>
      </c>
      <c r="D47" t="s">
        <v>1644</v>
      </c>
      <c r="E47" t="s">
        <v>1645</v>
      </c>
      <c r="F47">
        <v>0.94799999999999995</v>
      </c>
    </row>
    <row r="48" spans="1:10" x14ac:dyDescent="0.3">
      <c r="A48" t="s">
        <v>1519</v>
      </c>
      <c r="B48" t="s">
        <v>714</v>
      </c>
      <c r="C48" t="s">
        <v>1646</v>
      </c>
      <c r="D48" t="s">
        <v>1649</v>
      </c>
      <c r="E48" t="s">
        <v>1648</v>
      </c>
      <c r="F48" t="s">
        <v>1649</v>
      </c>
      <c r="G48" t="s">
        <v>1650</v>
      </c>
      <c r="H48">
        <v>0.93</v>
      </c>
    </row>
    <row r="49" spans="1:11" x14ac:dyDescent="0.3">
      <c r="A49" t="s">
        <v>1519</v>
      </c>
      <c r="B49" t="s">
        <v>715</v>
      </c>
      <c r="C49" t="s">
        <v>851</v>
      </c>
      <c r="D49" t="s">
        <v>1220</v>
      </c>
      <c r="E49" t="s">
        <v>1221</v>
      </c>
      <c r="F49">
        <v>0.95699999999999996</v>
      </c>
    </row>
    <row r="50" spans="1:11" x14ac:dyDescent="0.3">
      <c r="A50" t="s">
        <v>1519</v>
      </c>
      <c r="B50" t="s">
        <v>716</v>
      </c>
      <c r="C50" t="s">
        <v>852</v>
      </c>
      <c r="D50" t="s">
        <v>1223</v>
      </c>
      <c r="E50" t="s">
        <v>1224</v>
      </c>
      <c r="F50">
        <v>0.94799999999999995</v>
      </c>
    </row>
    <row r="51" spans="1:11" x14ac:dyDescent="0.3">
      <c r="A51" t="s">
        <v>1519</v>
      </c>
      <c r="B51" t="s">
        <v>717</v>
      </c>
      <c r="C51" t="s">
        <v>853</v>
      </c>
      <c r="D51" t="s">
        <v>1226</v>
      </c>
      <c r="E51" t="s">
        <v>1651</v>
      </c>
      <c r="F51">
        <v>0.94499999999999995</v>
      </c>
    </row>
    <row r="52" spans="1:11" x14ac:dyDescent="0.3">
      <c r="A52" t="s">
        <v>1519</v>
      </c>
      <c r="B52" t="s">
        <v>718</v>
      </c>
      <c r="C52" t="s">
        <v>854</v>
      </c>
      <c r="D52" t="s">
        <v>1229</v>
      </c>
      <c r="E52" t="s">
        <v>1652</v>
      </c>
      <c r="F52">
        <v>0.94499999999999995</v>
      </c>
    </row>
    <row r="53" spans="1:11" x14ac:dyDescent="0.3">
      <c r="A53" t="s">
        <v>1519</v>
      </c>
      <c r="B53" t="s">
        <v>719</v>
      </c>
      <c r="C53" t="s">
        <v>855</v>
      </c>
      <c r="D53" t="s">
        <v>1231</v>
      </c>
      <c r="E53" t="s">
        <v>1653</v>
      </c>
      <c r="F53">
        <v>0.92500000000000004</v>
      </c>
    </row>
    <row r="54" spans="1:11" x14ac:dyDescent="0.3">
      <c r="A54" t="s">
        <v>1519</v>
      </c>
      <c r="B54" t="s">
        <v>720</v>
      </c>
      <c r="C54" t="s">
        <v>1654</v>
      </c>
      <c r="D54" t="s">
        <v>1234</v>
      </c>
      <c r="E54" t="s">
        <v>1656</v>
      </c>
      <c r="F54" t="s">
        <v>1131</v>
      </c>
      <c r="G54" t="s">
        <v>1234</v>
      </c>
      <c r="H54" t="s">
        <v>1657</v>
      </c>
      <c r="I54">
        <v>0.82199999999999995</v>
      </c>
    </row>
    <row r="55" spans="1:11" x14ac:dyDescent="0.3">
      <c r="A55" t="s">
        <v>1519</v>
      </c>
      <c r="B55" t="s">
        <v>721</v>
      </c>
      <c r="C55" t="s">
        <v>857</v>
      </c>
      <c r="D55" t="s">
        <v>1269</v>
      </c>
      <c r="E55" t="s">
        <v>1658</v>
      </c>
      <c r="F55">
        <v>0.98699999999999999</v>
      </c>
    </row>
    <row r="56" spans="1:11" x14ac:dyDescent="0.3">
      <c r="A56" t="s">
        <v>1519</v>
      </c>
      <c r="B56" t="s">
        <v>722</v>
      </c>
      <c r="C56" t="s">
        <v>1659</v>
      </c>
      <c r="D56" t="s">
        <v>1272</v>
      </c>
      <c r="E56" t="s">
        <v>1661</v>
      </c>
      <c r="F56" t="s">
        <v>1662</v>
      </c>
      <c r="G56" t="s">
        <v>1272</v>
      </c>
      <c r="H56" t="s">
        <v>1663</v>
      </c>
      <c r="I56">
        <v>0.97499999999999998</v>
      </c>
    </row>
    <row r="57" spans="1:11" x14ac:dyDescent="0.3">
      <c r="A57" t="s">
        <v>1519</v>
      </c>
      <c r="B57" t="s">
        <v>723</v>
      </c>
      <c r="C57" t="s">
        <v>1664</v>
      </c>
      <c r="D57" t="s">
        <v>1666</v>
      </c>
      <c r="E57" t="s">
        <v>1666</v>
      </c>
      <c r="F57" t="s">
        <v>1667</v>
      </c>
      <c r="G57">
        <v>0.98399999999999999</v>
      </c>
    </row>
    <row r="58" spans="1:11" x14ac:dyDescent="0.3">
      <c r="A58" t="s">
        <v>1519</v>
      </c>
      <c r="B58" t="s">
        <v>724</v>
      </c>
      <c r="C58" t="s">
        <v>860</v>
      </c>
      <c r="D58" t="s">
        <v>1668</v>
      </c>
      <c r="E58" t="s">
        <v>1669</v>
      </c>
      <c r="F58">
        <v>0.97799999999999998</v>
      </c>
    </row>
    <row r="59" spans="1:11" x14ac:dyDescent="0.3">
      <c r="A59" t="s">
        <v>1519</v>
      </c>
      <c r="B59" t="s">
        <v>725</v>
      </c>
      <c r="C59" t="s">
        <v>861</v>
      </c>
      <c r="D59" t="s">
        <v>1248</v>
      </c>
      <c r="E59" t="s">
        <v>1249</v>
      </c>
      <c r="F59">
        <v>0.97299999999999998</v>
      </c>
    </row>
    <row r="60" spans="1:11" x14ac:dyDescent="0.3">
      <c r="A60" t="s">
        <v>1519</v>
      </c>
      <c r="B60" t="s">
        <v>726</v>
      </c>
      <c r="C60" t="s">
        <v>862</v>
      </c>
      <c r="D60" t="s">
        <v>1251</v>
      </c>
      <c r="E60" t="s">
        <v>1252</v>
      </c>
      <c r="F60">
        <v>0.98299999999999998</v>
      </c>
    </row>
    <row r="61" spans="1:11" x14ac:dyDescent="0.3">
      <c r="A61" t="s">
        <v>1519</v>
      </c>
      <c r="B61" t="s">
        <v>727</v>
      </c>
      <c r="C61" t="s">
        <v>1670</v>
      </c>
      <c r="D61" t="s">
        <v>1254</v>
      </c>
      <c r="E61" t="s">
        <v>1254</v>
      </c>
      <c r="F61" t="s">
        <v>1672</v>
      </c>
      <c r="G61">
        <v>0.98</v>
      </c>
    </row>
    <row r="62" spans="1:11" x14ac:dyDescent="0.3">
      <c r="A62" t="s">
        <v>1519</v>
      </c>
      <c r="B62" t="s">
        <v>728</v>
      </c>
      <c r="C62" t="s">
        <v>1670</v>
      </c>
      <c r="D62" t="s">
        <v>1257</v>
      </c>
      <c r="E62" t="s">
        <v>1608</v>
      </c>
      <c r="F62" t="s">
        <v>1609</v>
      </c>
      <c r="G62" t="s">
        <v>1610</v>
      </c>
      <c r="H62" t="s">
        <v>1555</v>
      </c>
      <c r="I62" t="s">
        <v>1257</v>
      </c>
      <c r="J62" t="s">
        <v>1674</v>
      </c>
      <c r="K62">
        <v>0.98</v>
      </c>
    </row>
    <row r="63" spans="1:11" x14ac:dyDescent="0.3">
      <c r="A63" t="s">
        <v>1519</v>
      </c>
      <c r="B63" t="s">
        <v>729</v>
      </c>
      <c r="C63" t="s">
        <v>1670</v>
      </c>
      <c r="D63" t="s">
        <v>1260</v>
      </c>
      <c r="E63" t="s">
        <v>1260</v>
      </c>
      <c r="F63" t="s">
        <v>1676</v>
      </c>
      <c r="G63">
        <v>0.98399999999999999</v>
      </c>
    </row>
    <row r="64" spans="1:11" x14ac:dyDescent="0.3">
      <c r="A64" t="s">
        <v>1519</v>
      </c>
      <c r="B64" t="s">
        <v>730</v>
      </c>
      <c r="C64" t="s">
        <v>1670</v>
      </c>
      <c r="D64" t="s">
        <v>1263</v>
      </c>
      <c r="E64" t="s">
        <v>1263</v>
      </c>
      <c r="F64" t="s">
        <v>1678</v>
      </c>
      <c r="G64">
        <v>0.98199999999999998</v>
      </c>
    </row>
    <row r="65" spans="1:7" x14ac:dyDescent="0.3">
      <c r="A65" t="s">
        <v>1519</v>
      </c>
      <c r="B65" t="s">
        <v>731</v>
      </c>
      <c r="C65" t="s">
        <v>1670</v>
      </c>
      <c r="D65" t="s">
        <v>1266</v>
      </c>
      <c r="E65" t="s">
        <v>1266</v>
      </c>
      <c r="F65" t="s">
        <v>1680</v>
      </c>
      <c r="G65">
        <v>0.98299999999999998</v>
      </c>
    </row>
    <row r="66" spans="1:7" x14ac:dyDescent="0.3">
      <c r="A66" t="s">
        <v>1519</v>
      </c>
      <c r="B66" t="s">
        <v>732</v>
      </c>
      <c r="C66" t="s">
        <v>1681</v>
      </c>
      <c r="D66" t="s">
        <v>1277</v>
      </c>
      <c r="E66" t="s">
        <v>1277</v>
      </c>
      <c r="F66" t="s">
        <v>1683</v>
      </c>
      <c r="G66">
        <v>0.97699999999999998</v>
      </c>
    </row>
    <row r="67" spans="1:7" x14ac:dyDescent="0.3">
      <c r="A67" t="s">
        <v>1519</v>
      </c>
      <c r="B67" t="s">
        <v>733</v>
      </c>
      <c r="C67" t="s">
        <v>1681</v>
      </c>
      <c r="D67" t="s">
        <v>1279</v>
      </c>
      <c r="E67" t="s">
        <v>1279</v>
      </c>
      <c r="F67" t="s">
        <v>1685</v>
      </c>
      <c r="G67">
        <v>0.97899999999999998</v>
      </c>
    </row>
    <row r="68" spans="1:7" x14ac:dyDescent="0.3">
      <c r="A68" t="s">
        <v>1519</v>
      </c>
      <c r="B68" t="s">
        <v>734</v>
      </c>
      <c r="C68" t="s">
        <v>1681</v>
      </c>
      <c r="D68" t="s">
        <v>1282</v>
      </c>
      <c r="E68" t="s">
        <v>1282</v>
      </c>
      <c r="F68" t="s">
        <v>1687</v>
      </c>
      <c r="G68">
        <v>0.98199999999999998</v>
      </c>
    </row>
    <row r="69" spans="1:7" x14ac:dyDescent="0.3">
      <c r="A69" t="s">
        <v>1519</v>
      </c>
      <c r="B69" t="s">
        <v>735</v>
      </c>
      <c r="C69" t="s">
        <v>1681</v>
      </c>
      <c r="D69" t="s">
        <v>1284</v>
      </c>
      <c r="E69" t="s">
        <v>1284</v>
      </c>
      <c r="F69" t="s">
        <v>1689</v>
      </c>
      <c r="G69">
        <v>0.98299999999999998</v>
      </c>
    </row>
    <row r="70" spans="1:7" x14ac:dyDescent="0.3">
      <c r="A70" t="s">
        <v>1519</v>
      </c>
      <c r="B70" t="s">
        <v>736</v>
      </c>
      <c r="C70" t="s">
        <v>1681</v>
      </c>
      <c r="D70" t="s">
        <v>1286</v>
      </c>
      <c r="E70" t="s">
        <v>1286</v>
      </c>
      <c r="F70" t="s">
        <v>1691</v>
      </c>
      <c r="G70">
        <v>0.98099999999999998</v>
      </c>
    </row>
    <row r="71" spans="1:7" x14ac:dyDescent="0.3">
      <c r="A71" t="s">
        <v>1519</v>
      </c>
      <c r="B71" t="s">
        <v>737</v>
      </c>
      <c r="C71" t="s">
        <v>1681</v>
      </c>
      <c r="D71" t="s">
        <v>1288</v>
      </c>
      <c r="E71" t="s">
        <v>1288</v>
      </c>
      <c r="F71" t="s">
        <v>1693</v>
      </c>
      <c r="G71">
        <v>0.98199999999999998</v>
      </c>
    </row>
    <row r="72" spans="1:7" x14ac:dyDescent="0.3">
      <c r="A72" t="s">
        <v>1519</v>
      </c>
      <c r="B72" t="s">
        <v>738</v>
      </c>
      <c r="C72" t="s">
        <v>874</v>
      </c>
      <c r="D72" t="s">
        <v>1694</v>
      </c>
      <c r="E72" t="s">
        <v>1695</v>
      </c>
      <c r="F72">
        <v>0.97699999999999998</v>
      </c>
    </row>
    <row r="73" spans="1:7" x14ac:dyDescent="0.3">
      <c r="A73" t="s">
        <v>1519</v>
      </c>
      <c r="B73" t="s">
        <v>739</v>
      </c>
      <c r="C73" t="s">
        <v>875</v>
      </c>
      <c r="D73" t="s">
        <v>1696</v>
      </c>
      <c r="E73" t="s">
        <v>1697</v>
      </c>
      <c r="F73">
        <v>0.98199999999999998</v>
      </c>
    </row>
    <row r="74" spans="1:7" x14ac:dyDescent="0.3">
      <c r="A74" t="s">
        <v>1519</v>
      </c>
      <c r="B74" t="s">
        <v>740</v>
      </c>
      <c r="C74" t="s">
        <v>876</v>
      </c>
      <c r="D74" t="s">
        <v>1698</v>
      </c>
      <c r="E74" t="s">
        <v>1699</v>
      </c>
      <c r="F74">
        <v>0.98099999999999998</v>
      </c>
    </row>
    <row r="75" spans="1:7" x14ac:dyDescent="0.3">
      <c r="A75" t="s">
        <v>1519</v>
      </c>
      <c r="B75" t="s">
        <v>741</v>
      </c>
      <c r="C75" t="s">
        <v>1700</v>
      </c>
      <c r="D75" t="s">
        <v>1294</v>
      </c>
      <c r="E75" t="s">
        <v>1701</v>
      </c>
      <c r="F75">
        <v>0.98599999999999999</v>
      </c>
    </row>
    <row r="76" spans="1:7" x14ac:dyDescent="0.3">
      <c r="A76" t="s">
        <v>1519</v>
      </c>
      <c r="B76" t="s">
        <v>742</v>
      </c>
      <c r="C76" t="s">
        <v>1702</v>
      </c>
      <c r="D76" t="s">
        <v>1297</v>
      </c>
      <c r="E76" t="s">
        <v>1703</v>
      </c>
      <c r="F76">
        <v>0.98899999999999999</v>
      </c>
    </row>
    <row r="77" spans="1:7" x14ac:dyDescent="0.3">
      <c r="A77" t="s">
        <v>1519</v>
      </c>
      <c r="B77" t="s">
        <v>743</v>
      </c>
      <c r="C77" t="s">
        <v>1704</v>
      </c>
      <c r="D77" t="s">
        <v>1300</v>
      </c>
      <c r="E77" t="s">
        <v>1705</v>
      </c>
      <c r="F77">
        <v>0.98599999999999999</v>
      </c>
    </row>
    <row r="78" spans="1:7" x14ac:dyDescent="0.3">
      <c r="A78" t="s">
        <v>1519</v>
      </c>
      <c r="B78" t="s">
        <v>744</v>
      </c>
      <c r="C78" t="s">
        <v>1706</v>
      </c>
      <c r="D78" t="s">
        <v>1303</v>
      </c>
      <c r="E78" t="s">
        <v>1707</v>
      </c>
      <c r="F78">
        <v>0.98599999999999999</v>
      </c>
    </row>
    <row r="79" spans="1:7" x14ac:dyDescent="0.3">
      <c r="A79" t="s">
        <v>1519</v>
      </c>
      <c r="B79" t="s">
        <v>745</v>
      </c>
      <c r="C79" t="s">
        <v>1708</v>
      </c>
      <c r="D79" t="s">
        <v>1306</v>
      </c>
      <c r="E79" t="s">
        <v>1709</v>
      </c>
      <c r="F79">
        <v>0.98299999999999998</v>
      </c>
    </row>
    <row r="80" spans="1:7" x14ac:dyDescent="0.3">
      <c r="A80" t="s">
        <v>1519</v>
      </c>
      <c r="B80" t="s">
        <v>746</v>
      </c>
      <c r="C80" t="s">
        <v>1710</v>
      </c>
      <c r="D80" t="s">
        <v>1308</v>
      </c>
      <c r="E80" t="s">
        <v>1711</v>
      </c>
      <c r="F80">
        <v>0.98299999999999998</v>
      </c>
    </row>
    <row r="81" spans="1:8" x14ac:dyDescent="0.3">
      <c r="A81" t="s">
        <v>1519</v>
      </c>
      <c r="B81" t="s">
        <v>747</v>
      </c>
      <c r="C81" t="s">
        <v>1712</v>
      </c>
      <c r="D81" t="s">
        <v>1713</v>
      </c>
      <c r="E81" t="s">
        <v>1714</v>
      </c>
      <c r="F81">
        <v>0.98499999999999999</v>
      </c>
    </row>
    <row r="82" spans="1:8" x14ac:dyDescent="0.3">
      <c r="A82" t="s">
        <v>1519</v>
      </c>
      <c r="B82" t="s">
        <v>748</v>
      </c>
      <c r="C82" t="s">
        <v>1715</v>
      </c>
      <c r="D82" t="s">
        <v>1716</v>
      </c>
      <c r="E82" t="s">
        <v>1717</v>
      </c>
      <c r="F82">
        <v>0.98399999999999999</v>
      </c>
    </row>
    <row r="83" spans="1:8" x14ac:dyDescent="0.3">
      <c r="A83" t="s">
        <v>1519</v>
      </c>
      <c r="B83" t="s">
        <v>749</v>
      </c>
      <c r="C83" t="s">
        <v>885</v>
      </c>
      <c r="D83" t="s">
        <v>1718</v>
      </c>
      <c r="E83" t="s">
        <v>1719</v>
      </c>
      <c r="F83">
        <v>0.98299999999999998</v>
      </c>
    </row>
    <row r="84" spans="1:8" x14ac:dyDescent="0.3">
      <c r="A84" t="s">
        <v>1519</v>
      </c>
      <c r="B84" t="s">
        <v>750</v>
      </c>
      <c r="C84" t="s">
        <v>1720</v>
      </c>
      <c r="D84" t="s">
        <v>1722</v>
      </c>
      <c r="E84" t="s">
        <v>1722</v>
      </c>
      <c r="F84" t="s">
        <v>1723</v>
      </c>
      <c r="G84">
        <v>0.97799999999999998</v>
      </c>
    </row>
    <row r="85" spans="1:8" x14ac:dyDescent="0.3">
      <c r="A85" t="s">
        <v>1519</v>
      </c>
      <c r="B85" t="s">
        <v>751</v>
      </c>
      <c r="C85" t="s">
        <v>887</v>
      </c>
    </row>
    <row r="86" spans="1:8" x14ac:dyDescent="0.3">
      <c r="A86" t="s">
        <v>1519</v>
      </c>
      <c r="B86" t="s">
        <v>752</v>
      </c>
      <c r="C86" t="s">
        <v>1720</v>
      </c>
      <c r="D86" t="s">
        <v>1317</v>
      </c>
      <c r="E86" t="s">
        <v>1725</v>
      </c>
      <c r="F86" t="s">
        <v>1317</v>
      </c>
      <c r="G86" t="s">
        <v>1726</v>
      </c>
      <c r="H86">
        <v>0.97799999999999998</v>
      </c>
    </row>
    <row r="87" spans="1:8" x14ac:dyDescent="0.3">
      <c r="A87" t="s">
        <v>1519</v>
      </c>
      <c r="B87" t="s">
        <v>753</v>
      </c>
      <c r="C87" t="s">
        <v>1720</v>
      </c>
      <c r="D87" t="s">
        <v>1320</v>
      </c>
      <c r="E87" t="s">
        <v>1727</v>
      </c>
      <c r="F87" t="s">
        <v>1320</v>
      </c>
      <c r="G87" t="s">
        <v>1728</v>
      </c>
      <c r="H87">
        <v>0.97799999999999998</v>
      </c>
    </row>
    <row r="88" spans="1:8" x14ac:dyDescent="0.3">
      <c r="A88" t="s">
        <v>1519</v>
      </c>
      <c r="B88" t="s">
        <v>754</v>
      </c>
      <c r="C88" t="s">
        <v>1729</v>
      </c>
      <c r="D88" t="s">
        <v>1731</v>
      </c>
      <c r="E88" t="s">
        <v>1731</v>
      </c>
      <c r="F88" t="s">
        <v>1732</v>
      </c>
      <c r="G88">
        <v>0.95299999999999996</v>
      </c>
    </row>
    <row r="89" spans="1:8" x14ac:dyDescent="0.3">
      <c r="A89" t="s">
        <v>1519</v>
      </c>
      <c r="B89" t="s">
        <v>755</v>
      </c>
      <c r="C89" t="s">
        <v>1729</v>
      </c>
      <c r="D89" t="s">
        <v>1734</v>
      </c>
      <c r="E89" t="s">
        <v>1734</v>
      </c>
      <c r="F89" t="s">
        <v>1735</v>
      </c>
      <c r="G89">
        <v>0.95699999999999996</v>
      </c>
    </row>
    <row r="90" spans="1:8" x14ac:dyDescent="0.3">
      <c r="A90" t="s">
        <v>1519</v>
      </c>
      <c r="B90" t="s">
        <v>756</v>
      </c>
      <c r="C90" t="s">
        <v>1736</v>
      </c>
      <c r="D90" t="s">
        <v>1331</v>
      </c>
      <c r="E90" t="s">
        <v>1331</v>
      </c>
      <c r="F90" t="s">
        <v>1738</v>
      </c>
      <c r="G90">
        <v>0.98499999999999999</v>
      </c>
    </row>
    <row r="91" spans="1:8" x14ac:dyDescent="0.3">
      <c r="A91" t="s">
        <v>1519</v>
      </c>
      <c r="B91" t="s">
        <v>757</v>
      </c>
      <c r="C91" t="s">
        <v>893</v>
      </c>
      <c r="D91" t="s">
        <v>1322</v>
      </c>
      <c r="E91" t="s">
        <v>1739</v>
      </c>
      <c r="F91">
        <v>0.94899999999999995</v>
      </c>
    </row>
    <row r="92" spans="1:8" x14ac:dyDescent="0.3">
      <c r="A92" t="s">
        <v>1519</v>
      </c>
      <c r="B92" t="s">
        <v>758</v>
      </c>
      <c r="C92" t="s">
        <v>894</v>
      </c>
      <c r="D92" t="s">
        <v>1325</v>
      </c>
      <c r="E92" t="s">
        <v>1740</v>
      </c>
      <c r="F92">
        <v>0.96399999999999997</v>
      </c>
    </row>
    <row r="93" spans="1:8" x14ac:dyDescent="0.3">
      <c r="A93" t="s">
        <v>1519</v>
      </c>
      <c r="B93" t="s">
        <v>759</v>
      </c>
      <c r="C93" t="s">
        <v>895</v>
      </c>
      <c r="D93" t="s">
        <v>1328</v>
      </c>
      <c r="E93" t="s">
        <v>1741</v>
      </c>
      <c r="F93">
        <v>0.96599999999999997</v>
      </c>
    </row>
    <row r="94" spans="1:8" x14ac:dyDescent="0.3">
      <c r="A94" t="s">
        <v>1519</v>
      </c>
      <c r="B94" t="s">
        <v>760</v>
      </c>
      <c r="C94" t="s">
        <v>896</v>
      </c>
      <c r="D94" t="s">
        <v>1742</v>
      </c>
      <c r="E94" t="s">
        <v>1743</v>
      </c>
      <c r="F94">
        <v>0.96499999999999997</v>
      </c>
    </row>
    <row r="95" spans="1:8" x14ac:dyDescent="0.3">
      <c r="A95" t="s">
        <v>1519</v>
      </c>
      <c r="B95" t="s">
        <v>761</v>
      </c>
      <c r="C95" t="s">
        <v>897</v>
      </c>
      <c r="D95" t="s">
        <v>1744</v>
      </c>
      <c r="E95" t="s">
        <v>1745</v>
      </c>
      <c r="F95">
        <v>0.97899999999999998</v>
      </c>
    </row>
    <row r="96" spans="1:8" x14ac:dyDescent="0.3">
      <c r="A96" t="s">
        <v>1519</v>
      </c>
      <c r="B96" t="s">
        <v>762</v>
      </c>
      <c r="C96" t="s">
        <v>898</v>
      </c>
      <c r="D96" t="s">
        <v>1746</v>
      </c>
      <c r="E96" t="s">
        <v>1747</v>
      </c>
      <c r="F96">
        <v>0.97799999999999998</v>
      </c>
    </row>
    <row r="97" spans="1:7" x14ac:dyDescent="0.3">
      <c r="A97" t="s">
        <v>1519</v>
      </c>
      <c r="B97" t="s">
        <v>763</v>
      </c>
      <c r="C97" t="s">
        <v>899</v>
      </c>
      <c r="D97" t="s">
        <v>1748</v>
      </c>
      <c r="E97" t="s">
        <v>1749</v>
      </c>
      <c r="F97">
        <v>0.98299999999999998</v>
      </c>
    </row>
    <row r="98" spans="1:7" x14ac:dyDescent="0.3">
      <c r="A98" t="s">
        <v>1519</v>
      </c>
      <c r="B98" t="s">
        <v>764</v>
      </c>
      <c r="C98" t="s">
        <v>900</v>
      </c>
      <c r="D98" t="s">
        <v>1750</v>
      </c>
      <c r="E98" t="s">
        <v>1751</v>
      </c>
      <c r="F98">
        <v>0.98299999999999998</v>
      </c>
    </row>
    <row r="99" spans="1:7" x14ac:dyDescent="0.3">
      <c r="A99" t="s">
        <v>1519</v>
      </c>
      <c r="B99" t="s">
        <v>765</v>
      </c>
      <c r="C99" t="s">
        <v>901</v>
      </c>
      <c r="D99" t="s">
        <v>1752</v>
      </c>
      <c r="E99" t="s">
        <v>1753</v>
      </c>
      <c r="F99">
        <v>0.98599999999999999</v>
      </c>
    </row>
    <row r="100" spans="1:7" x14ac:dyDescent="0.3">
      <c r="A100" t="s">
        <v>1519</v>
      </c>
      <c r="B100" t="s">
        <v>766</v>
      </c>
      <c r="C100" t="s">
        <v>902</v>
      </c>
      <c r="D100" t="s">
        <v>1754</v>
      </c>
      <c r="E100" t="s">
        <v>1755</v>
      </c>
      <c r="F100">
        <v>0.98199999999999998</v>
      </c>
    </row>
    <row r="101" spans="1:7" x14ac:dyDescent="0.3">
      <c r="A101" t="s">
        <v>1519</v>
      </c>
      <c r="B101" t="s">
        <v>767</v>
      </c>
      <c r="C101" t="s">
        <v>903</v>
      </c>
      <c r="D101" t="s">
        <v>1756</v>
      </c>
      <c r="E101" t="s">
        <v>1757</v>
      </c>
      <c r="F101">
        <v>0.98299999999999998</v>
      </c>
    </row>
    <row r="102" spans="1:7" x14ac:dyDescent="0.3">
      <c r="A102" t="s">
        <v>1519</v>
      </c>
      <c r="B102" t="s">
        <v>768</v>
      </c>
      <c r="C102" t="s">
        <v>904</v>
      </c>
      <c r="D102" t="s">
        <v>1758</v>
      </c>
      <c r="E102" t="s">
        <v>1759</v>
      </c>
      <c r="F102">
        <v>0.94899999999999995</v>
      </c>
    </row>
    <row r="103" spans="1:7" x14ac:dyDescent="0.3">
      <c r="A103" t="s">
        <v>1519</v>
      </c>
      <c r="B103" t="s">
        <v>769</v>
      </c>
      <c r="C103" t="s">
        <v>905</v>
      </c>
      <c r="D103" t="s">
        <v>1339</v>
      </c>
      <c r="E103" t="s">
        <v>1760</v>
      </c>
      <c r="F103">
        <v>0.98299999999999998</v>
      </c>
    </row>
    <row r="104" spans="1:7" x14ac:dyDescent="0.3">
      <c r="A104" t="s">
        <v>1519</v>
      </c>
      <c r="B104" t="s">
        <v>770</v>
      </c>
      <c r="C104" t="s">
        <v>906</v>
      </c>
      <c r="D104" t="s">
        <v>1761</v>
      </c>
      <c r="E104" t="s">
        <v>1762</v>
      </c>
      <c r="F104">
        <v>0.95499999999999996</v>
      </c>
    </row>
    <row r="105" spans="1:7" x14ac:dyDescent="0.3">
      <c r="A105" t="s">
        <v>1519</v>
      </c>
      <c r="B105" t="s">
        <v>771</v>
      </c>
      <c r="C105" t="s">
        <v>907</v>
      </c>
      <c r="D105" t="s">
        <v>1763</v>
      </c>
      <c r="E105" t="s">
        <v>1764</v>
      </c>
      <c r="F105">
        <v>0.95599999999999996</v>
      </c>
    </row>
    <row r="106" spans="1:7" x14ac:dyDescent="0.3">
      <c r="A106" t="s">
        <v>1519</v>
      </c>
      <c r="B106" t="s">
        <v>772</v>
      </c>
      <c r="C106" t="s">
        <v>908</v>
      </c>
      <c r="D106" t="s">
        <v>1765</v>
      </c>
      <c r="E106" t="s">
        <v>1766</v>
      </c>
      <c r="F106">
        <v>0.95899999999999996</v>
      </c>
    </row>
    <row r="107" spans="1:7" x14ac:dyDescent="0.3">
      <c r="A107" t="s">
        <v>1519</v>
      </c>
      <c r="B107" t="s">
        <v>773</v>
      </c>
      <c r="C107" t="s">
        <v>909</v>
      </c>
      <c r="D107" t="s">
        <v>1767</v>
      </c>
      <c r="E107" t="s">
        <v>1768</v>
      </c>
      <c r="F107">
        <v>0.96399999999999997</v>
      </c>
    </row>
    <row r="108" spans="1:7" x14ac:dyDescent="0.3">
      <c r="A108" t="s">
        <v>1519</v>
      </c>
      <c r="B108" t="s">
        <v>774</v>
      </c>
      <c r="C108" t="s">
        <v>910</v>
      </c>
      <c r="D108" t="s">
        <v>1769</v>
      </c>
      <c r="E108" t="s">
        <v>1770</v>
      </c>
      <c r="F108">
        <v>0.96299999999999997</v>
      </c>
    </row>
    <row r="109" spans="1:7" x14ac:dyDescent="0.3">
      <c r="A109" t="s">
        <v>1519</v>
      </c>
      <c r="B109" t="s">
        <v>775</v>
      </c>
      <c r="C109" t="s">
        <v>911</v>
      </c>
      <c r="D109" t="s">
        <v>1771</v>
      </c>
      <c r="E109" t="s">
        <v>1772</v>
      </c>
      <c r="F109">
        <v>0.95199999999999996</v>
      </c>
    </row>
    <row r="110" spans="1:7" x14ac:dyDescent="0.3">
      <c r="A110" t="s">
        <v>1519</v>
      </c>
      <c r="B110" t="s">
        <v>776</v>
      </c>
      <c r="C110" t="s">
        <v>1773</v>
      </c>
      <c r="D110" t="s">
        <v>1775</v>
      </c>
      <c r="E110" t="s">
        <v>1775</v>
      </c>
      <c r="F110" t="s">
        <v>1776</v>
      </c>
      <c r="G110">
        <v>0.96399999999999997</v>
      </c>
    </row>
    <row r="111" spans="1:7" x14ac:dyDescent="0.3">
      <c r="A111" t="s">
        <v>1519</v>
      </c>
      <c r="B111" t="s">
        <v>777</v>
      </c>
      <c r="C111" t="s">
        <v>913</v>
      </c>
      <c r="D111" t="s">
        <v>1777</v>
      </c>
      <c r="E111" t="s">
        <v>1778</v>
      </c>
      <c r="F111">
        <v>0.97199999999999998</v>
      </c>
    </row>
    <row r="112" spans="1:7" x14ac:dyDescent="0.3">
      <c r="A112" t="s">
        <v>1519</v>
      </c>
      <c r="B112" t="s">
        <v>778</v>
      </c>
      <c r="C112" t="s">
        <v>914</v>
      </c>
      <c r="D112" t="s">
        <v>1779</v>
      </c>
      <c r="E112" t="s">
        <v>1780</v>
      </c>
      <c r="F112">
        <v>0.96899999999999997</v>
      </c>
    </row>
    <row r="113" spans="1:9" x14ac:dyDescent="0.3">
      <c r="A113" t="s">
        <v>1519</v>
      </c>
      <c r="B113" t="s">
        <v>779</v>
      </c>
      <c r="C113" t="s">
        <v>915</v>
      </c>
      <c r="D113" t="s">
        <v>1781</v>
      </c>
      <c r="E113" t="s">
        <v>1782</v>
      </c>
      <c r="F113">
        <v>0.96399999999999997</v>
      </c>
    </row>
    <row r="114" spans="1:9" x14ac:dyDescent="0.3">
      <c r="A114" t="s">
        <v>1519</v>
      </c>
      <c r="B114" t="s">
        <v>780</v>
      </c>
      <c r="C114" t="s">
        <v>916</v>
      </c>
      <c r="D114" t="s">
        <v>1783</v>
      </c>
      <c r="E114" t="s">
        <v>1784</v>
      </c>
      <c r="F114">
        <v>0.96199999999999997</v>
      </c>
    </row>
    <row r="115" spans="1:9" x14ac:dyDescent="0.3">
      <c r="A115" t="s">
        <v>1519</v>
      </c>
      <c r="B115" t="s">
        <v>781</v>
      </c>
      <c r="C115" t="s">
        <v>917</v>
      </c>
      <c r="D115" t="s">
        <v>1785</v>
      </c>
      <c r="E115" t="s">
        <v>1786</v>
      </c>
      <c r="F115">
        <v>0.96599999999999997</v>
      </c>
    </row>
    <row r="116" spans="1:9" x14ac:dyDescent="0.3">
      <c r="A116" t="s">
        <v>1519</v>
      </c>
      <c r="B116" t="s">
        <v>782</v>
      </c>
      <c r="C116" t="s">
        <v>918</v>
      </c>
      <c r="D116" t="s">
        <v>1787</v>
      </c>
      <c r="E116" t="s">
        <v>1788</v>
      </c>
      <c r="F116">
        <v>0.96</v>
      </c>
    </row>
    <row r="117" spans="1:9" x14ac:dyDescent="0.3">
      <c r="A117" t="s">
        <v>1519</v>
      </c>
      <c r="B117" t="s">
        <v>783</v>
      </c>
      <c r="C117" t="s">
        <v>919</v>
      </c>
      <c r="D117" t="s">
        <v>1789</v>
      </c>
      <c r="E117" t="s">
        <v>1790</v>
      </c>
      <c r="F117">
        <v>0.97199999999999998</v>
      </c>
    </row>
    <row r="118" spans="1:9" x14ac:dyDescent="0.3">
      <c r="A118" t="s">
        <v>1519</v>
      </c>
      <c r="B118" t="s">
        <v>784</v>
      </c>
      <c r="C118" t="s">
        <v>920</v>
      </c>
      <c r="D118" t="s">
        <v>1791</v>
      </c>
      <c r="E118" t="s">
        <v>1792</v>
      </c>
      <c r="F118">
        <v>0.97099999999999997</v>
      </c>
    </row>
    <row r="119" spans="1:9" x14ac:dyDescent="0.3">
      <c r="A119" t="s">
        <v>1519</v>
      </c>
      <c r="B119" t="s">
        <v>785</v>
      </c>
      <c r="C119" t="s">
        <v>921</v>
      </c>
      <c r="D119" t="s">
        <v>1793</v>
      </c>
      <c r="E119" t="s">
        <v>1794</v>
      </c>
      <c r="F119">
        <v>0.96799999999999997</v>
      </c>
    </row>
    <row r="120" spans="1:9" x14ac:dyDescent="0.3">
      <c r="A120" t="s">
        <v>1519</v>
      </c>
      <c r="B120" t="s">
        <v>786</v>
      </c>
      <c r="C120" t="s">
        <v>922</v>
      </c>
      <c r="D120" t="s">
        <v>1795</v>
      </c>
      <c r="E120" t="s">
        <v>1796</v>
      </c>
      <c r="F120">
        <v>0.96799999999999997</v>
      </c>
    </row>
    <row r="121" spans="1:9" x14ac:dyDescent="0.3">
      <c r="A121" t="s">
        <v>1519</v>
      </c>
      <c r="B121" t="s">
        <v>787</v>
      </c>
      <c r="C121" t="s">
        <v>923</v>
      </c>
      <c r="D121" t="s">
        <v>1797</v>
      </c>
      <c r="E121" t="s">
        <v>1798</v>
      </c>
      <c r="F121">
        <v>0.95</v>
      </c>
    </row>
    <row r="122" spans="1:9" x14ac:dyDescent="0.3">
      <c r="A122" t="s">
        <v>1519</v>
      </c>
      <c r="B122" t="s">
        <v>788</v>
      </c>
      <c r="C122" t="s">
        <v>1799</v>
      </c>
      <c r="D122" t="s">
        <v>1345</v>
      </c>
      <c r="E122" t="s">
        <v>1345</v>
      </c>
      <c r="F122" t="s">
        <v>1801</v>
      </c>
      <c r="G122">
        <v>0.96499999999999997</v>
      </c>
    </row>
    <row r="123" spans="1:9" x14ac:dyDescent="0.3">
      <c r="A123" t="s">
        <v>1519</v>
      </c>
      <c r="B123" t="s">
        <v>789</v>
      </c>
      <c r="C123" t="s">
        <v>1799</v>
      </c>
      <c r="D123" t="s">
        <v>1348</v>
      </c>
      <c r="E123" t="s">
        <v>1348</v>
      </c>
      <c r="F123" t="s">
        <v>1803</v>
      </c>
      <c r="G123">
        <v>0.96899999999999997</v>
      </c>
    </row>
    <row r="124" spans="1:9" x14ac:dyDescent="0.3">
      <c r="A124" t="s">
        <v>1519</v>
      </c>
      <c r="B124" t="s">
        <v>790</v>
      </c>
      <c r="C124" t="s">
        <v>1799</v>
      </c>
      <c r="D124" t="s">
        <v>1351</v>
      </c>
      <c r="E124" t="s">
        <v>1351</v>
      </c>
      <c r="F124" t="s">
        <v>1805</v>
      </c>
      <c r="G124">
        <v>0.97099999999999997</v>
      </c>
    </row>
    <row r="125" spans="1:9" x14ac:dyDescent="0.3">
      <c r="A125" t="s">
        <v>1519</v>
      </c>
      <c r="B125" t="s">
        <v>791</v>
      </c>
      <c r="C125" t="s">
        <v>927</v>
      </c>
      <c r="D125" t="s">
        <v>1806</v>
      </c>
      <c r="E125" t="s">
        <v>1807</v>
      </c>
      <c r="F125">
        <v>0.96199999999999997</v>
      </c>
    </row>
    <row r="126" spans="1:9" x14ac:dyDescent="0.3">
      <c r="A126" t="s">
        <v>1519</v>
      </c>
      <c r="B126" t="s">
        <v>792</v>
      </c>
      <c r="C126" t="s">
        <v>1670</v>
      </c>
      <c r="D126" t="s">
        <v>1811</v>
      </c>
      <c r="E126" t="s">
        <v>1809</v>
      </c>
      <c r="F126" t="s">
        <v>1810</v>
      </c>
      <c r="G126" t="s">
        <v>1811</v>
      </c>
      <c r="H126" t="s">
        <v>1812</v>
      </c>
      <c r="I126">
        <v>0.95</v>
      </c>
    </row>
    <row r="127" spans="1:9" x14ac:dyDescent="0.3">
      <c r="A127" t="s">
        <v>1519</v>
      </c>
      <c r="B127" t="s">
        <v>793</v>
      </c>
      <c r="C127" t="s">
        <v>929</v>
      </c>
      <c r="D127" t="s">
        <v>1357</v>
      </c>
      <c r="E127" t="s">
        <v>1813</v>
      </c>
      <c r="F127">
        <v>0.98699999999999999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655A-B43C-4CF2-BFB4-A31E9A8330EF}">
  <dimension ref="A1:B99"/>
  <sheetViews>
    <sheetView workbookViewId="0">
      <selection sqref="A1:B99"/>
    </sheetView>
  </sheetViews>
  <sheetFormatPr defaultRowHeight="14.4" x14ac:dyDescent="0.3"/>
  <sheetData>
    <row r="1" spans="1:2" ht="168" thickBot="1" x14ac:dyDescent="0.35">
      <c r="A1" s="1" t="s">
        <v>1122</v>
      </c>
      <c r="B1" s="3" t="s">
        <v>1358</v>
      </c>
    </row>
    <row r="2" spans="1:2" ht="140.4" thickBot="1" x14ac:dyDescent="0.35">
      <c r="A2" s="1" t="s">
        <v>1124</v>
      </c>
      <c r="B2" s="3" t="s">
        <v>1359</v>
      </c>
    </row>
    <row r="3" spans="1:2" ht="154.19999999999999" thickBot="1" x14ac:dyDescent="0.35">
      <c r="A3" s="1" t="s">
        <v>1126</v>
      </c>
      <c r="B3" s="3" t="s">
        <v>1360</v>
      </c>
    </row>
    <row r="4" spans="1:2" ht="140.4" thickBot="1" x14ac:dyDescent="0.35">
      <c r="A4" s="1" t="s">
        <v>1129</v>
      </c>
      <c r="B4" s="3" t="s">
        <v>1361</v>
      </c>
    </row>
    <row r="5" spans="1:2" ht="181.8" thickBot="1" x14ac:dyDescent="0.35">
      <c r="A5" s="1" t="s">
        <v>1130</v>
      </c>
      <c r="B5" s="3" t="s">
        <v>1362</v>
      </c>
    </row>
    <row r="6" spans="1:2" ht="278.39999999999998" thickBot="1" x14ac:dyDescent="0.35">
      <c r="A6" s="1" t="s">
        <v>1132</v>
      </c>
      <c r="B6" s="3" t="s">
        <v>1363</v>
      </c>
    </row>
    <row r="7" spans="1:2" ht="181.8" thickBot="1" x14ac:dyDescent="0.35">
      <c r="A7" s="1" t="s">
        <v>1135</v>
      </c>
      <c r="B7" s="3" t="s">
        <v>1364</v>
      </c>
    </row>
    <row r="8" spans="1:2" ht="168" thickBot="1" x14ac:dyDescent="0.35">
      <c r="A8" s="1" t="s">
        <v>1138</v>
      </c>
      <c r="B8" s="3" t="s">
        <v>1365</v>
      </c>
    </row>
    <row r="9" spans="1:2" ht="278.39999999999998" thickBot="1" x14ac:dyDescent="0.35">
      <c r="A9" s="1" t="s">
        <v>1140</v>
      </c>
      <c r="B9" s="3" t="s">
        <v>1366</v>
      </c>
    </row>
    <row r="10" spans="1:2" ht="209.4" thickBot="1" x14ac:dyDescent="0.35">
      <c r="A10" s="1" t="s">
        <v>1142</v>
      </c>
      <c r="B10" s="3" t="s">
        <v>1367</v>
      </c>
    </row>
    <row r="11" spans="1:2" ht="292.2" thickBot="1" x14ac:dyDescent="0.35">
      <c r="A11" s="1" t="s">
        <v>1144</v>
      </c>
      <c r="B11" s="3" t="s">
        <v>1368</v>
      </c>
    </row>
    <row r="12" spans="1:2" ht="154.19999999999999" thickBot="1" x14ac:dyDescent="0.35">
      <c r="A12" s="1" t="s">
        <v>1147</v>
      </c>
      <c r="B12" s="3" t="s">
        <v>1369</v>
      </c>
    </row>
    <row r="13" spans="1:2" ht="126.6" thickBot="1" x14ac:dyDescent="0.35">
      <c r="A13" s="1" t="s">
        <v>1150</v>
      </c>
      <c r="B13" s="3" t="s">
        <v>1370</v>
      </c>
    </row>
    <row r="14" spans="1:2" ht="168" thickBot="1" x14ac:dyDescent="0.35">
      <c r="A14" s="1" t="s">
        <v>1152</v>
      </c>
      <c r="B14" s="3" t="s">
        <v>1371</v>
      </c>
    </row>
    <row r="15" spans="1:2" ht="237" thickBot="1" x14ac:dyDescent="0.35">
      <c r="A15" s="1" t="s">
        <v>1155</v>
      </c>
      <c r="B15" s="3" t="s">
        <v>1372</v>
      </c>
    </row>
    <row r="16" spans="1:2" ht="223.2" thickBot="1" x14ac:dyDescent="0.35">
      <c r="A16" s="1" t="s">
        <v>1158</v>
      </c>
      <c r="B16" s="3" t="s">
        <v>1373</v>
      </c>
    </row>
    <row r="17" spans="1:2" ht="181.8" thickBot="1" x14ac:dyDescent="0.35">
      <c r="A17" s="1" t="s">
        <v>1161</v>
      </c>
      <c r="B17" s="3" t="s">
        <v>1374</v>
      </c>
    </row>
    <row r="18" spans="1:2" ht="319.8" thickBot="1" x14ac:dyDescent="0.35">
      <c r="A18" s="1" t="s">
        <v>1164</v>
      </c>
      <c r="B18" s="3" t="s">
        <v>1375</v>
      </c>
    </row>
    <row r="19" spans="1:2" ht="223.2" thickBot="1" x14ac:dyDescent="0.35">
      <c r="A19" s="1" t="s">
        <v>1167</v>
      </c>
      <c r="B19" s="3" t="s">
        <v>1376</v>
      </c>
    </row>
    <row r="20" spans="1:2" ht="250.8" thickBot="1" x14ac:dyDescent="0.35">
      <c r="A20" s="1" t="s">
        <v>1170</v>
      </c>
      <c r="B20" s="3" t="s">
        <v>1377</v>
      </c>
    </row>
    <row r="21" spans="1:2" ht="140.4" thickBot="1" x14ac:dyDescent="0.35">
      <c r="A21" s="1" t="s">
        <v>1173</v>
      </c>
      <c r="B21" s="3" t="s">
        <v>1378</v>
      </c>
    </row>
    <row r="22" spans="1:2" ht="168" thickBot="1" x14ac:dyDescent="0.35">
      <c r="A22" s="1" t="s">
        <v>1176</v>
      </c>
      <c r="B22" s="3" t="s">
        <v>1379</v>
      </c>
    </row>
    <row r="23" spans="1:2" ht="168" thickBot="1" x14ac:dyDescent="0.35">
      <c r="A23" s="1" t="s">
        <v>1178</v>
      </c>
      <c r="B23" s="3" t="s">
        <v>1380</v>
      </c>
    </row>
    <row r="24" spans="1:2" ht="209.4" thickBot="1" x14ac:dyDescent="0.35">
      <c r="A24" s="1" t="s">
        <v>1180</v>
      </c>
      <c r="B24" s="3" t="s">
        <v>1381</v>
      </c>
    </row>
    <row r="25" spans="1:2" ht="168" thickBot="1" x14ac:dyDescent="0.35">
      <c r="A25" s="1" t="s">
        <v>1182</v>
      </c>
      <c r="B25" s="3" t="s">
        <v>1382</v>
      </c>
    </row>
    <row r="26" spans="1:2" ht="264.60000000000002" thickBot="1" x14ac:dyDescent="0.35">
      <c r="A26" s="1" t="s">
        <v>1184</v>
      </c>
      <c r="B26" s="3" t="s">
        <v>1383</v>
      </c>
    </row>
    <row r="27" spans="1:2" ht="361.2" thickBot="1" x14ac:dyDescent="0.35">
      <c r="A27" s="1" t="s">
        <v>1187</v>
      </c>
      <c r="B27" s="3" t="s">
        <v>1384</v>
      </c>
    </row>
    <row r="28" spans="1:2" ht="195.6" thickBot="1" x14ac:dyDescent="0.35">
      <c r="A28" s="1" t="s">
        <v>1190</v>
      </c>
      <c r="B28" s="3" t="s">
        <v>1385</v>
      </c>
    </row>
    <row r="29" spans="1:2" ht="333.6" thickBot="1" x14ac:dyDescent="0.35">
      <c r="A29" s="1" t="s">
        <v>1192</v>
      </c>
      <c r="B29" s="3" t="s">
        <v>1386</v>
      </c>
    </row>
    <row r="30" spans="1:2" ht="168" thickBot="1" x14ac:dyDescent="0.35">
      <c r="A30" s="1" t="s">
        <v>1195</v>
      </c>
      <c r="B30" s="3" t="s">
        <v>1387</v>
      </c>
    </row>
    <row r="31" spans="1:2" ht="223.2" thickBot="1" x14ac:dyDescent="0.35">
      <c r="A31" s="1" t="s">
        <v>1198</v>
      </c>
      <c r="B31" s="3" t="s">
        <v>1388</v>
      </c>
    </row>
    <row r="32" spans="1:2" ht="223.2" thickBot="1" x14ac:dyDescent="0.35">
      <c r="A32" s="1" t="s">
        <v>1201</v>
      </c>
      <c r="B32" s="3" t="s">
        <v>1389</v>
      </c>
    </row>
    <row r="33" spans="1:2" ht="237" thickBot="1" x14ac:dyDescent="0.35">
      <c r="A33" s="1" t="s">
        <v>1203</v>
      </c>
      <c r="B33" s="3" t="s">
        <v>1390</v>
      </c>
    </row>
    <row r="34" spans="1:2" ht="140.4" thickBot="1" x14ac:dyDescent="0.35">
      <c r="A34" s="1" t="s">
        <v>1205</v>
      </c>
      <c r="B34" s="3" t="s">
        <v>1391</v>
      </c>
    </row>
    <row r="35" spans="1:2" ht="140.4" thickBot="1" x14ac:dyDescent="0.35">
      <c r="A35" s="1" t="s">
        <v>1208</v>
      </c>
      <c r="B35" s="3" t="s">
        <v>1392</v>
      </c>
    </row>
    <row r="36" spans="1:2" ht="154.19999999999999" thickBot="1" x14ac:dyDescent="0.35">
      <c r="A36" s="1" t="s">
        <v>1211</v>
      </c>
      <c r="B36" s="3" t="s">
        <v>1393</v>
      </c>
    </row>
    <row r="37" spans="1:2" ht="57.6" thickBot="1" x14ac:dyDescent="0.35">
      <c r="A37" s="1" t="s">
        <v>1214</v>
      </c>
      <c r="B37" s="3" t="s">
        <v>1394</v>
      </c>
    </row>
    <row r="38" spans="1:2" ht="195.6" thickBot="1" x14ac:dyDescent="0.35">
      <c r="A38" s="1" t="s">
        <v>1216</v>
      </c>
      <c r="B38" s="3" t="s">
        <v>1395</v>
      </c>
    </row>
    <row r="39" spans="1:2" ht="126.6" thickBot="1" x14ac:dyDescent="0.35">
      <c r="A39" s="1" t="s">
        <v>1219</v>
      </c>
      <c r="B39" s="3" t="s">
        <v>1396</v>
      </c>
    </row>
    <row r="40" spans="1:2" ht="126.6" thickBot="1" x14ac:dyDescent="0.35">
      <c r="A40" s="1" t="s">
        <v>1222</v>
      </c>
      <c r="B40" s="3" t="s">
        <v>1397</v>
      </c>
    </row>
    <row r="41" spans="1:2" ht="126.6" thickBot="1" x14ac:dyDescent="0.35">
      <c r="A41" s="1" t="s">
        <v>1225</v>
      </c>
      <c r="B41" s="3" t="s">
        <v>1398</v>
      </c>
    </row>
    <row r="42" spans="1:2" ht="71.400000000000006" thickBot="1" x14ac:dyDescent="0.35">
      <c r="A42" s="1" t="s">
        <v>1227</v>
      </c>
      <c r="B42" s="3" t="s">
        <v>1399</v>
      </c>
    </row>
    <row r="43" spans="1:2" ht="57.6" thickBot="1" x14ac:dyDescent="0.35">
      <c r="A43" s="1" t="s">
        <v>1230</v>
      </c>
      <c r="B43" s="3" t="s">
        <v>1400</v>
      </c>
    </row>
    <row r="44" spans="1:2" ht="223.2" thickBot="1" x14ac:dyDescent="0.35">
      <c r="A44" s="1" t="s">
        <v>1232</v>
      </c>
      <c r="B44" s="3" t="s">
        <v>1401</v>
      </c>
    </row>
    <row r="45" spans="1:2" ht="168" thickBot="1" x14ac:dyDescent="0.35">
      <c r="A45" s="1" t="s">
        <v>1235</v>
      </c>
      <c r="B45" s="3" t="s">
        <v>1402</v>
      </c>
    </row>
    <row r="46" spans="1:2" ht="154.19999999999999" thickBot="1" x14ac:dyDescent="0.35">
      <c r="A46" s="1" t="s">
        <v>1238</v>
      </c>
      <c r="B46" s="3" t="s">
        <v>1403</v>
      </c>
    </row>
    <row r="47" spans="1:2" ht="361.2" thickBot="1" x14ac:dyDescent="0.35">
      <c r="A47" s="1" t="s">
        <v>1241</v>
      </c>
      <c r="B47" s="3" t="s">
        <v>1404</v>
      </c>
    </row>
    <row r="48" spans="1:2" ht="306" thickBot="1" x14ac:dyDescent="0.35">
      <c r="A48" s="1" t="s">
        <v>1244</v>
      </c>
      <c r="B48" s="3" t="s">
        <v>1405</v>
      </c>
    </row>
    <row r="49" spans="1:2" ht="140.4" thickBot="1" x14ac:dyDescent="0.35">
      <c r="A49" s="1" t="s">
        <v>1247</v>
      </c>
      <c r="B49" s="3" t="s">
        <v>1406</v>
      </c>
    </row>
    <row r="50" spans="1:2" ht="126.6" thickBot="1" x14ac:dyDescent="0.35">
      <c r="A50" s="1" t="s">
        <v>1250</v>
      </c>
      <c r="B50" s="3" t="s">
        <v>1407</v>
      </c>
    </row>
    <row r="51" spans="1:2" ht="168" thickBot="1" x14ac:dyDescent="0.35">
      <c r="A51" s="1" t="s">
        <v>1253</v>
      </c>
      <c r="B51" s="3" t="s">
        <v>1408</v>
      </c>
    </row>
    <row r="52" spans="1:2" ht="264.60000000000002" thickBot="1" x14ac:dyDescent="0.35">
      <c r="A52" s="1" t="s">
        <v>1255</v>
      </c>
      <c r="B52" s="3" t="s">
        <v>1409</v>
      </c>
    </row>
    <row r="53" spans="1:2" ht="168" thickBot="1" x14ac:dyDescent="0.35">
      <c r="A53" s="1" t="s">
        <v>1258</v>
      </c>
      <c r="B53" s="3" t="s">
        <v>1410</v>
      </c>
    </row>
    <row r="54" spans="1:2" ht="223.2" thickBot="1" x14ac:dyDescent="0.35">
      <c r="A54" s="1" t="s">
        <v>1261</v>
      </c>
      <c r="B54" s="3" t="s">
        <v>1411</v>
      </c>
    </row>
    <row r="55" spans="1:2" ht="168" thickBot="1" x14ac:dyDescent="0.35">
      <c r="A55" s="1" t="s">
        <v>1264</v>
      </c>
      <c r="B55" s="3" t="s">
        <v>1412</v>
      </c>
    </row>
    <row r="56" spans="1:2" ht="195.6" thickBot="1" x14ac:dyDescent="0.35">
      <c r="A56" s="1" t="s">
        <v>1267</v>
      </c>
      <c r="B56" s="3" t="s">
        <v>1413</v>
      </c>
    </row>
    <row r="57" spans="1:2" ht="319.8" thickBot="1" x14ac:dyDescent="0.35">
      <c r="A57" s="1" t="s">
        <v>1270</v>
      </c>
      <c r="B57" s="3" t="s">
        <v>1414</v>
      </c>
    </row>
    <row r="58" spans="1:2" ht="209.4" thickBot="1" x14ac:dyDescent="0.35">
      <c r="A58" s="1" t="s">
        <v>1273</v>
      </c>
      <c r="B58" s="3" t="s">
        <v>1415</v>
      </c>
    </row>
    <row r="59" spans="1:2" ht="195.6" thickBot="1" x14ac:dyDescent="0.35">
      <c r="A59" s="1" t="s">
        <v>1276</v>
      </c>
      <c r="B59" s="3" t="s">
        <v>1416</v>
      </c>
    </row>
    <row r="60" spans="1:2" ht="237" thickBot="1" x14ac:dyDescent="0.35">
      <c r="A60" s="1" t="s">
        <v>1278</v>
      </c>
      <c r="B60" s="3" t="s">
        <v>1417</v>
      </c>
    </row>
    <row r="61" spans="1:2" ht="209.4" thickBot="1" x14ac:dyDescent="0.35">
      <c r="A61" s="1" t="s">
        <v>1280</v>
      </c>
      <c r="B61" s="3" t="s">
        <v>1418</v>
      </c>
    </row>
    <row r="62" spans="1:2" ht="168" thickBot="1" x14ac:dyDescent="0.35">
      <c r="A62" s="1" t="s">
        <v>1283</v>
      </c>
      <c r="B62" s="3" t="s">
        <v>1419</v>
      </c>
    </row>
    <row r="63" spans="1:2" ht="168" thickBot="1" x14ac:dyDescent="0.35">
      <c r="A63" s="1" t="s">
        <v>1285</v>
      </c>
      <c r="B63" s="3" t="s">
        <v>1420</v>
      </c>
    </row>
    <row r="64" spans="1:2" ht="168" thickBot="1" x14ac:dyDescent="0.35">
      <c r="A64" s="1" t="s">
        <v>1287</v>
      </c>
      <c r="B64" s="3" t="s">
        <v>1421</v>
      </c>
    </row>
    <row r="65" spans="1:2" ht="264.60000000000002" thickBot="1" x14ac:dyDescent="0.35">
      <c r="A65" s="1" t="s">
        <v>1289</v>
      </c>
      <c r="B65" s="3" t="s">
        <v>1422</v>
      </c>
    </row>
    <row r="66" spans="1:2" ht="264.60000000000002" thickBot="1" x14ac:dyDescent="0.35">
      <c r="A66" s="1" t="s">
        <v>1292</v>
      </c>
      <c r="B66" s="3" t="s">
        <v>1423</v>
      </c>
    </row>
    <row r="67" spans="1:2" ht="264.60000000000002" thickBot="1" x14ac:dyDescent="0.35">
      <c r="A67" s="1" t="s">
        <v>1295</v>
      </c>
      <c r="B67" s="3" t="s">
        <v>1424</v>
      </c>
    </row>
    <row r="68" spans="1:2" ht="278.39999999999998" thickBot="1" x14ac:dyDescent="0.35">
      <c r="A68" s="1" t="s">
        <v>1298</v>
      </c>
      <c r="B68" s="3" t="s">
        <v>1425</v>
      </c>
    </row>
    <row r="69" spans="1:2" ht="237" thickBot="1" x14ac:dyDescent="0.35">
      <c r="A69" s="1" t="s">
        <v>1301</v>
      </c>
      <c r="B69" s="3" t="s">
        <v>1426</v>
      </c>
    </row>
    <row r="70" spans="1:2" ht="250.8" thickBot="1" x14ac:dyDescent="0.35">
      <c r="A70" s="1" t="s">
        <v>1304</v>
      </c>
      <c r="B70" s="3" t="s">
        <v>1427</v>
      </c>
    </row>
    <row r="71" spans="1:2" ht="264.60000000000002" thickBot="1" x14ac:dyDescent="0.35">
      <c r="A71" s="1" t="s">
        <v>1307</v>
      </c>
      <c r="B71" s="3" t="s">
        <v>1428</v>
      </c>
    </row>
    <row r="72" spans="1:2" ht="264.60000000000002" thickBot="1" x14ac:dyDescent="0.35">
      <c r="A72" s="1" t="s">
        <v>1309</v>
      </c>
      <c r="B72" s="3" t="s">
        <v>1429</v>
      </c>
    </row>
    <row r="73" spans="1:2" ht="292.2" thickBot="1" x14ac:dyDescent="0.35">
      <c r="A73" s="1" t="s">
        <v>1312</v>
      </c>
      <c r="B73" s="3" t="s">
        <v>1430</v>
      </c>
    </row>
    <row r="74" spans="1:2" ht="209.4" thickBot="1" x14ac:dyDescent="0.35">
      <c r="A74" s="1" t="s">
        <v>1315</v>
      </c>
      <c r="B74" s="3" t="s">
        <v>1431</v>
      </c>
    </row>
    <row r="75" spans="1:2" ht="278.39999999999998" thickBot="1" x14ac:dyDescent="0.35">
      <c r="A75" s="1" t="s">
        <v>1318</v>
      </c>
      <c r="B75" s="3" t="s">
        <v>1432</v>
      </c>
    </row>
    <row r="76" spans="1:2" ht="306" thickBot="1" x14ac:dyDescent="0.35">
      <c r="A76" s="1" t="s">
        <v>1321</v>
      </c>
      <c r="B76" s="3" t="s">
        <v>1433</v>
      </c>
    </row>
    <row r="77" spans="1:2" ht="333.6" thickBot="1" x14ac:dyDescent="0.35">
      <c r="A77" s="1" t="s">
        <v>1323</v>
      </c>
      <c r="B77" s="3" t="s">
        <v>1434</v>
      </c>
    </row>
    <row r="78" spans="1:2" ht="347.4" thickBot="1" x14ac:dyDescent="0.35">
      <c r="A78" s="1" t="s">
        <v>1326</v>
      </c>
      <c r="B78" s="3" t="s">
        <v>1435</v>
      </c>
    </row>
    <row r="79" spans="1:2" ht="409.6" thickBot="1" x14ac:dyDescent="0.35">
      <c r="A79" s="1" t="s">
        <v>1329</v>
      </c>
      <c r="B79" s="3" t="s">
        <v>1436</v>
      </c>
    </row>
    <row r="80" spans="1:2" ht="319.8" thickBot="1" x14ac:dyDescent="0.35">
      <c r="A80" s="1" t="s">
        <v>1332</v>
      </c>
      <c r="B80" s="3" t="s">
        <v>1437</v>
      </c>
    </row>
    <row r="81" spans="1:2" ht="112.8" thickBot="1" x14ac:dyDescent="0.35">
      <c r="A81" s="1" t="s">
        <v>1335</v>
      </c>
      <c r="B81" s="3" t="s">
        <v>1438</v>
      </c>
    </row>
    <row r="82" spans="1:2" ht="195.6" thickBot="1" x14ac:dyDescent="0.35">
      <c r="A82" s="1" t="s">
        <v>1337</v>
      </c>
      <c r="B82" s="3" t="s">
        <v>1439</v>
      </c>
    </row>
    <row r="83" spans="1:2" ht="409.6" thickBot="1" x14ac:dyDescent="0.35">
      <c r="A83" s="1" t="s">
        <v>1340</v>
      </c>
      <c r="B83" s="3" t="s">
        <v>1440</v>
      </c>
    </row>
    <row r="84" spans="1:2" ht="278.39999999999998" thickBot="1" x14ac:dyDescent="0.35">
      <c r="A84" s="1" t="s">
        <v>1343</v>
      </c>
      <c r="B84" s="3" t="s">
        <v>1441</v>
      </c>
    </row>
    <row r="85" spans="1:2" ht="126.6" thickBot="1" x14ac:dyDescent="0.35">
      <c r="A85" s="1" t="s">
        <v>1346</v>
      </c>
      <c r="B85" s="3" t="s">
        <v>1442</v>
      </c>
    </row>
    <row r="86" spans="1:2" ht="85.2" thickBot="1" x14ac:dyDescent="0.35">
      <c r="A86" s="1" t="s">
        <v>1349</v>
      </c>
      <c r="B86" s="3" t="s">
        <v>1443</v>
      </c>
    </row>
    <row r="87" spans="1:2" ht="43.8" thickBot="1" x14ac:dyDescent="0.35">
      <c r="A87" s="1" t="s">
        <v>1444</v>
      </c>
      <c r="B87" s="3" t="s">
        <v>1445</v>
      </c>
    </row>
    <row r="88" spans="1:2" ht="223.2" thickBot="1" x14ac:dyDescent="0.35">
      <c r="A88" s="1" t="s">
        <v>1352</v>
      </c>
      <c r="B88" s="3" t="s">
        <v>1446</v>
      </c>
    </row>
    <row r="89" spans="1:2" ht="292.2" thickBot="1" x14ac:dyDescent="0.35">
      <c r="A89" s="1" t="s">
        <v>1355</v>
      </c>
      <c r="B89" s="3" t="s">
        <v>1447</v>
      </c>
    </row>
    <row r="90" spans="1:2" ht="237" thickBot="1" x14ac:dyDescent="0.35">
      <c r="A90" s="1" t="s">
        <v>1448</v>
      </c>
      <c r="B90" s="3" t="s">
        <v>1449</v>
      </c>
    </row>
    <row r="91" spans="1:2" ht="57.6" thickBot="1" x14ac:dyDescent="0.35">
      <c r="A91" s="1" t="s">
        <v>1450</v>
      </c>
      <c r="B91" s="3" t="s">
        <v>1451</v>
      </c>
    </row>
    <row r="92" spans="1:2" ht="209.4" thickBot="1" x14ac:dyDescent="0.35">
      <c r="A92" s="1" t="s">
        <v>1452</v>
      </c>
      <c r="B92" s="3" t="s">
        <v>1453</v>
      </c>
    </row>
    <row r="93" spans="1:2" ht="140.4" thickBot="1" x14ac:dyDescent="0.35">
      <c r="A93" s="1" t="s">
        <v>1454</v>
      </c>
      <c r="B93" s="3" t="s">
        <v>1455</v>
      </c>
    </row>
    <row r="94" spans="1:2" ht="126.6" thickBot="1" x14ac:dyDescent="0.35">
      <c r="A94" s="1" t="s">
        <v>1456</v>
      </c>
      <c r="B94" s="3" t="s">
        <v>1457</v>
      </c>
    </row>
    <row r="95" spans="1:2" ht="375" thickBot="1" x14ac:dyDescent="0.35">
      <c r="A95" s="1" t="s">
        <v>1458</v>
      </c>
      <c r="B95" s="3" t="s">
        <v>1459</v>
      </c>
    </row>
    <row r="96" spans="1:2" ht="409.6" thickBot="1" x14ac:dyDescent="0.35">
      <c r="A96" s="1" t="s">
        <v>1460</v>
      </c>
      <c r="B96" s="3" t="s">
        <v>1461</v>
      </c>
    </row>
    <row r="97" spans="1:2" ht="195.6" thickBot="1" x14ac:dyDescent="0.35">
      <c r="A97" s="1" t="s">
        <v>1462</v>
      </c>
      <c r="B97" s="3" t="s">
        <v>1463</v>
      </c>
    </row>
    <row r="98" spans="1:2" ht="278.39999999999998" thickBot="1" x14ac:dyDescent="0.35">
      <c r="A98" s="1" t="s">
        <v>1464</v>
      </c>
      <c r="B98" s="3" t="s">
        <v>1465</v>
      </c>
    </row>
    <row r="99" spans="1:2" ht="264.60000000000002" thickBot="1" x14ac:dyDescent="0.35">
      <c r="A99" s="1" t="s">
        <v>1466</v>
      </c>
      <c r="B99" s="3" t="s">
        <v>1467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DFB0-9898-4A2C-9498-3DE260A05A5C}">
  <dimension ref="A1:B136"/>
  <sheetViews>
    <sheetView workbookViewId="0">
      <selection sqref="A1:B136"/>
    </sheetView>
  </sheetViews>
  <sheetFormatPr defaultRowHeight="14.4" x14ac:dyDescent="0.3"/>
  <sheetData>
    <row r="1" spans="1:2" ht="55.8" thickBot="1" x14ac:dyDescent="0.35">
      <c r="A1" s="1" t="s">
        <v>668</v>
      </c>
      <c r="B1" s="2" t="s">
        <v>804</v>
      </c>
    </row>
    <row r="2" spans="1:2" ht="124.8" thickBot="1" x14ac:dyDescent="0.35">
      <c r="A2" s="1" t="s">
        <v>669</v>
      </c>
      <c r="B2" s="2" t="s">
        <v>805</v>
      </c>
    </row>
    <row r="3" spans="1:2" ht="152.4" thickBot="1" x14ac:dyDescent="0.35">
      <c r="A3" s="1" t="s">
        <v>670</v>
      </c>
      <c r="B3" s="2" t="s">
        <v>806</v>
      </c>
    </row>
    <row r="4" spans="1:2" ht="166.2" thickBot="1" x14ac:dyDescent="0.35">
      <c r="A4" s="1" t="s">
        <v>671</v>
      </c>
      <c r="B4" s="2" t="s">
        <v>807</v>
      </c>
    </row>
    <row r="5" spans="1:2" ht="345.6" thickBot="1" x14ac:dyDescent="0.35">
      <c r="A5" s="1" t="s">
        <v>672</v>
      </c>
      <c r="B5" s="2" t="s">
        <v>808</v>
      </c>
    </row>
    <row r="6" spans="1:2" ht="221.4" thickBot="1" x14ac:dyDescent="0.35">
      <c r="A6" s="1" t="s">
        <v>673</v>
      </c>
      <c r="B6" s="2" t="s">
        <v>809</v>
      </c>
    </row>
    <row r="7" spans="1:2" ht="166.2" thickBot="1" x14ac:dyDescent="0.35">
      <c r="A7" s="1" t="s">
        <v>674</v>
      </c>
      <c r="B7" s="2" t="s">
        <v>810</v>
      </c>
    </row>
    <row r="8" spans="1:2" ht="235.2" thickBot="1" x14ac:dyDescent="0.35">
      <c r="A8" s="1" t="s">
        <v>675</v>
      </c>
      <c r="B8" s="2" t="s">
        <v>811</v>
      </c>
    </row>
    <row r="9" spans="1:2" ht="193.8" thickBot="1" x14ac:dyDescent="0.35">
      <c r="A9" s="1" t="s">
        <v>676</v>
      </c>
      <c r="B9" s="2" t="s">
        <v>812</v>
      </c>
    </row>
    <row r="10" spans="1:2" ht="290.39999999999998" thickBot="1" x14ac:dyDescent="0.35">
      <c r="A10" s="1" t="s">
        <v>677</v>
      </c>
      <c r="B10" s="2" t="s">
        <v>813</v>
      </c>
    </row>
    <row r="11" spans="1:2" ht="152.4" thickBot="1" x14ac:dyDescent="0.35">
      <c r="A11" s="1" t="s">
        <v>678</v>
      </c>
      <c r="B11" s="2" t="s">
        <v>814</v>
      </c>
    </row>
    <row r="12" spans="1:2" ht="138.6" thickBot="1" x14ac:dyDescent="0.35">
      <c r="A12" s="1" t="s">
        <v>679</v>
      </c>
      <c r="B12" s="2" t="s">
        <v>815</v>
      </c>
    </row>
    <row r="13" spans="1:2" ht="152.4" thickBot="1" x14ac:dyDescent="0.35">
      <c r="A13" s="1" t="s">
        <v>680</v>
      </c>
      <c r="B13" s="2" t="s">
        <v>816</v>
      </c>
    </row>
    <row r="14" spans="1:2" ht="111" thickBot="1" x14ac:dyDescent="0.35">
      <c r="A14" s="1" t="s">
        <v>681</v>
      </c>
      <c r="B14" s="2" t="s">
        <v>817</v>
      </c>
    </row>
    <row r="15" spans="1:2" ht="83.4" thickBot="1" x14ac:dyDescent="0.35">
      <c r="A15" s="1" t="s">
        <v>682</v>
      </c>
      <c r="B15" s="2" t="s">
        <v>818</v>
      </c>
    </row>
    <row r="16" spans="1:2" ht="166.2" thickBot="1" x14ac:dyDescent="0.35">
      <c r="A16" s="1" t="s">
        <v>683</v>
      </c>
      <c r="B16" s="2" t="s">
        <v>819</v>
      </c>
    </row>
    <row r="17" spans="1:2" ht="235.2" thickBot="1" x14ac:dyDescent="0.35">
      <c r="A17" s="1" t="s">
        <v>684</v>
      </c>
      <c r="B17" s="2" t="s">
        <v>820</v>
      </c>
    </row>
    <row r="18" spans="1:2" ht="221.4" thickBot="1" x14ac:dyDescent="0.35">
      <c r="A18" s="1" t="s">
        <v>685</v>
      </c>
      <c r="B18" s="2" t="s">
        <v>821</v>
      </c>
    </row>
    <row r="19" spans="1:2" ht="180" thickBot="1" x14ac:dyDescent="0.35">
      <c r="A19" s="1" t="s">
        <v>686</v>
      </c>
      <c r="B19" s="2" t="s">
        <v>822</v>
      </c>
    </row>
    <row r="20" spans="1:2" ht="331.8" thickBot="1" x14ac:dyDescent="0.35">
      <c r="A20" s="1" t="s">
        <v>687</v>
      </c>
      <c r="B20" s="2" t="s">
        <v>823</v>
      </c>
    </row>
    <row r="21" spans="1:2" ht="193.8" thickBot="1" x14ac:dyDescent="0.35">
      <c r="A21" s="1" t="s">
        <v>688</v>
      </c>
      <c r="B21" s="2" t="s">
        <v>824</v>
      </c>
    </row>
    <row r="22" spans="1:2" ht="249" thickBot="1" x14ac:dyDescent="0.35">
      <c r="A22" s="1" t="s">
        <v>689</v>
      </c>
      <c r="B22" s="2" t="s">
        <v>825</v>
      </c>
    </row>
    <row r="23" spans="1:2" ht="249" thickBot="1" x14ac:dyDescent="0.35">
      <c r="A23" s="1" t="s">
        <v>690</v>
      </c>
      <c r="B23" s="2" t="s">
        <v>826</v>
      </c>
    </row>
    <row r="24" spans="1:2" ht="166.2" thickBot="1" x14ac:dyDescent="0.35">
      <c r="A24" s="1" t="s">
        <v>691</v>
      </c>
      <c r="B24" s="2" t="s">
        <v>827</v>
      </c>
    </row>
    <row r="25" spans="1:2" ht="359.4" thickBot="1" x14ac:dyDescent="0.35">
      <c r="A25" s="1" t="s">
        <v>692</v>
      </c>
      <c r="B25" s="2" t="s">
        <v>828</v>
      </c>
    </row>
    <row r="26" spans="1:2" ht="152.4" thickBot="1" x14ac:dyDescent="0.35">
      <c r="A26" s="1" t="s">
        <v>693</v>
      </c>
      <c r="B26" s="2" t="s">
        <v>829</v>
      </c>
    </row>
    <row r="27" spans="1:2" ht="152.4" thickBot="1" x14ac:dyDescent="0.35">
      <c r="A27" s="1" t="s">
        <v>694</v>
      </c>
      <c r="B27" s="2" t="s">
        <v>830</v>
      </c>
    </row>
    <row r="28" spans="1:2" ht="152.4" thickBot="1" x14ac:dyDescent="0.35">
      <c r="A28" s="1" t="s">
        <v>695</v>
      </c>
      <c r="B28" s="2" t="s">
        <v>831</v>
      </c>
    </row>
    <row r="29" spans="1:2" ht="111" thickBot="1" x14ac:dyDescent="0.35">
      <c r="A29" s="1" t="s">
        <v>696</v>
      </c>
      <c r="B29" s="2" t="s">
        <v>832</v>
      </c>
    </row>
    <row r="30" spans="1:2" ht="166.2" thickBot="1" x14ac:dyDescent="0.35">
      <c r="A30" s="1" t="s">
        <v>697</v>
      </c>
      <c r="B30" s="2" t="s">
        <v>833</v>
      </c>
    </row>
    <row r="31" spans="1:2" ht="207.6" thickBot="1" x14ac:dyDescent="0.35">
      <c r="A31" s="1" t="s">
        <v>698</v>
      </c>
      <c r="B31" s="2" t="s">
        <v>834</v>
      </c>
    </row>
    <row r="32" spans="1:2" ht="207.6" thickBot="1" x14ac:dyDescent="0.35">
      <c r="A32" s="1" t="s">
        <v>699</v>
      </c>
      <c r="B32" s="2" t="s">
        <v>835</v>
      </c>
    </row>
    <row r="33" spans="1:2" ht="166.2" thickBot="1" x14ac:dyDescent="0.35">
      <c r="A33" s="1" t="s">
        <v>700</v>
      </c>
      <c r="B33" s="2" t="s">
        <v>836</v>
      </c>
    </row>
    <row r="34" spans="1:2" ht="262.8" thickBot="1" x14ac:dyDescent="0.35">
      <c r="A34" s="1" t="s">
        <v>701</v>
      </c>
      <c r="B34" s="2" t="s">
        <v>837</v>
      </c>
    </row>
    <row r="35" spans="1:2" ht="345.6" thickBot="1" x14ac:dyDescent="0.35">
      <c r="A35" s="1" t="s">
        <v>702</v>
      </c>
      <c r="B35" s="2" t="s">
        <v>838</v>
      </c>
    </row>
    <row r="36" spans="1:2" ht="193.8" thickBot="1" x14ac:dyDescent="0.35">
      <c r="A36" s="1" t="s">
        <v>703</v>
      </c>
      <c r="B36" s="2" t="s">
        <v>839</v>
      </c>
    </row>
    <row r="37" spans="1:2" ht="262.8" thickBot="1" x14ac:dyDescent="0.35">
      <c r="A37" s="1" t="s">
        <v>704</v>
      </c>
      <c r="B37" s="2" t="s">
        <v>840</v>
      </c>
    </row>
    <row r="38" spans="1:2" ht="166.2" thickBot="1" x14ac:dyDescent="0.35">
      <c r="A38" s="1" t="s">
        <v>705</v>
      </c>
      <c r="B38" s="2" t="s">
        <v>841</v>
      </c>
    </row>
    <row r="39" spans="1:2" ht="166.2" thickBot="1" x14ac:dyDescent="0.35">
      <c r="A39" s="1" t="s">
        <v>706</v>
      </c>
      <c r="B39" s="2" t="s">
        <v>842</v>
      </c>
    </row>
    <row r="40" spans="1:2" ht="207.6" thickBot="1" x14ac:dyDescent="0.35">
      <c r="A40" s="1" t="s">
        <v>707</v>
      </c>
      <c r="B40" s="2" t="s">
        <v>843</v>
      </c>
    </row>
    <row r="41" spans="1:2" ht="221.4" thickBot="1" x14ac:dyDescent="0.35">
      <c r="A41" s="1" t="s">
        <v>708</v>
      </c>
      <c r="B41" s="2" t="s">
        <v>844</v>
      </c>
    </row>
    <row r="42" spans="1:2" ht="235.2" thickBot="1" x14ac:dyDescent="0.35">
      <c r="A42" s="1" t="s">
        <v>709</v>
      </c>
      <c r="B42" s="2" t="s">
        <v>845</v>
      </c>
    </row>
    <row r="43" spans="1:2" ht="138.6" thickBot="1" x14ac:dyDescent="0.35">
      <c r="A43" s="1" t="s">
        <v>710</v>
      </c>
      <c r="B43" s="2" t="s">
        <v>846</v>
      </c>
    </row>
    <row r="44" spans="1:2" ht="138.6" thickBot="1" x14ac:dyDescent="0.35">
      <c r="A44" s="1" t="s">
        <v>711</v>
      </c>
      <c r="B44" s="2" t="s">
        <v>847</v>
      </c>
    </row>
    <row r="45" spans="1:2" ht="152.4" thickBot="1" x14ac:dyDescent="0.35">
      <c r="A45" s="1" t="s">
        <v>712</v>
      </c>
      <c r="B45" s="2" t="s">
        <v>848</v>
      </c>
    </row>
    <row r="46" spans="1:2" ht="55.8" thickBot="1" x14ac:dyDescent="0.35">
      <c r="A46" s="1" t="s">
        <v>713</v>
      </c>
      <c r="B46" s="2" t="s">
        <v>849</v>
      </c>
    </row>
    <row r="47" spans="1:2" ht="207.6" thickBot="1" x14ac:dyDescent="0.35">
      <c r="A47" s="1" t="s">
        <v>714</v>
      </c>
      <c r="B47" s="2" t="s">
        <v>850</v>
      </c>
    </row>
    <row r="48" spans="1:2" ht="124.8" thickBot="1" x14ac:dyDescent="0.35">
      <c r="A48" s="1" t="s">
        <v>715</v>
      </c>
      <c r="B48" s="2" t="s">
        <v>851</v>
      </c>
    </row>
    <row r="49" spans="1:2" ht="111" thickBot="1" x14ac:dyDescent="0.35">
      <c r="A49" s="1" t="s">
        <v>716</v>
      </c>
      <c r="B49" s="2" t="s">
        <v>852</v>
      </c>
    </row>
    <row r="50" spans="1:2" ht="124.8" thickBot="1" x14ac:dyDescent="0.35">
      <c r="A50" s="1" t="s">
        <v>717</v>
      </c>
      <c r="B50" s="2" t="s">
        <v>853</v>
      </c>
    </row>
    <row r="51" spans="1:2" ht="111" thickBot="1" x14ac:dyDescent="0.35">
      <c r="A51" s="1" t="s">
        <v>718</v>
      </c>
      <c r="B51" s="2" t="s">
        <v>854</v>
      </c>
    </row>
    <row r="52" spans="1:2" ht="42" thickBot="1" x14ac:dyDescent="0.35">
      <c r="A52" s="1" t="s">
        <v>719</v>
      </c>
      <c r="B52" s="2" t="s">
        <v>855</v>
      </c>
    </row>
    <row r="53" spans="1:2" ht="207.6" thickBot="1" x14ac:dyDescent="0.35">
      <c r="A53" s="1" t="s">
        <v>720</v>
      </c>
      <c r="B53" s="2" t="s">
        <v>856</v>
      </c>
    </row>
    <row r="54" spans="1:2" ht="193.8" thickBot="1" x14ac:dyDescent="0.35">
      <c r="A54" s="1" t="s">
        <v>721</v>
      </c>
      <c r="B54" s="2" t="s">
        <v>857</v>
      </c>
    </row>
    <row r="55" spans="1:2" ht="262.8" thickBot="1" x14ac:dyDescent="0.35">
      <c r="A55" s="1" t="s">
        <v>722</v>
      </c>
      <c r="B55" s="2" t="s">
        <v>858</v>
      </c>
    </row>
    <row r="56" spans="1:2" ht="193.8" thickBot="1" x14ac:dyDescent="0.35">
      <c r="A56" s="1" t="s">
        <v>723</v>
      </c>
      <c r="B56" s="2" t="s">
        <v>859</v>
      </c>
    </row>
    <row r="57" spans="1:2" ht="193.8" thickBot="1" x14ac:dyDescent="0.35">
      <c r="A57" s="1" t="s">
        <v>724</v>
      </c>
      <c r="B57" s="2" t="s">
        <v>860</v>
      </c>
    </row>
    <row r="58" spans="1:2" ht="124.8" thickBot="1" x14ac:dyDescent="0.35">
      <c r="A58" s="1" t="s">
        <v>725</v>
      </c>
      <c r="B58" s="2" t="s">
        <v>861</v>
      </c>
    </row>
    <row r="59" spans="1:2" ht="124.8" thickBot="1" x14ac:dyDescent="0.35">
      <c r="A59" s="1" t="s">
        <v>726</v>
      </c>
      <c r="B59" s="2" t="s">
        <v>862</v>
      </c>
    </row>
    <row r="60" spans="1:2" ht="180" thickBot="1" x14ac:dyDescent="0.35">
      <c r="A60" s="1" t="s">
        <v>727</v>
      </c>
      <c r="B60" s="2" t="s">
        <v>863</v>
      </c>
    </row>
    <row r="61" spans="1:2" ht="262.8" thickBot="1" x14ac:dyDescent="0.35">
      <c r="A61" s="1" t="s">
        <v>728</v>
      </c>
      <c r="B61" s="2" t="s">
        <v>864</v>
      </c>
    </row>
    <row r="62" spans="1:2" ht="235.2" thickBot="1" x14ac:dyDescent="0.35">
      <c r="A62" s="1" t="s">
        <v>729</v>
      </c>
      <c r="B62" s="2" t="s">
        <v>865</v>
      </c>
    </row>
    <row r="63" spans="1:2" ht="235.2" thickBot="1" x14ac:dyDescent="0.35">
      <c r="A63" s="1" t="s">
        <v>730</v>
      </c>
      <c r="B63" s="2" t="s">
        <v>866</v>
      </c>
    </row>
    <row r="64" spans="1:2" ht="166.2" thickBot="1" x14ac:dyDescent="0.35">
      <c r="A64" s="1" t="s">
        <v>731</v>
      </c>
      <c r="B64" s="2" t="s">
        <v>867</v>
      </c>
    </row>
    <row r="65" spans="1:2" ht="193.8" thickBot="1" x14ac:dyDescent="0.35">
      <c r="A65" s="1" t="s">
        <v>732</v>
      </c>
      <c r="B65" s="2" t="s">
        <v>868</v>
      </c>
    </row>
    <row r="66" spans="1:2" ht="221.4" thickBot="1" x14ac:dyDescent="0.35">
      <c r="A66" s="1" t="s">
        <v>733</v>
      </c>
      <c r="B66" s="2" t="s">
        <v>869</v>
      </c>
    </row>
    <row r="67" spans="1:2" ht="207.6" thickBot="1" x14ac:dyDescent="0.35">
      <c r="A67" s="1" t="s">
        <v>734</v>
      </c>
      <c r="B67" s="2" t="s">
        <v>870</v>
      </c>
    </row>
    <row r="68" spans="1:2" ht="152.4" thickBot="1" x14ac:dyDescent="0.35">
      <c r="A68" s="1" t="s">
        <v>735</v>
      </c>
      <c r="B68" s="2" t="s">
        <v>871</v>
      </c>
    </row>
    <row r="69" spans="1:2" ht="152.4" thickBot="1" x14ac:dyDescent="0.35">
      <c r="A69" s="1" t="s">
        <v>736</v>
      </c>
      <c r="B69" s="2" t="s">
        <v>872</v>
      </c>
    </row>
    <row r="70" spans="1:2" ht="152.4" thickBot="1" x14ac:dyDescent="0.35">
      <c r="A70" s="1" t="s">
        <v>737</v>
      </c>
      <c r="B70" s="2" t="s">
        <v>873</v>
      </c>
    </row>
    <row r="71" spans="1:2" ht="111" thickBot="1" x14ac:dyDescent="0.35">
      <c r="A71" s="1" t="s">
        <v>738</v>
      </c>
      <c r="B71" s="2" t="s">
        <v>874</v>
      </c>
    </row>
    <row r="72" spans="1:2" ht="124.8" thickBot="1" x14ac:dyDescent="0.35">
      <c r="A72" s="1" t="s">
        <v>739</v>
      </c>
      <c r="B72" s="2" t="s">
        <v>875</v>
      </c>
    </row>
    <row r="73" spans="1:2" ht="138.6" thickBot="1" x14ac:dyDescent="0.35">
      <c r="A73" s="1" t="s">
        <v>740</v>
      </c>
      <c r="B73" s="2" t="s">
        <v>876</v>
      </c>
    </row>
    <row r="74" spans="1:2" ht="276.60000000000002" thickBot="1" x14ac:dyDescent="0.35">
      <c r="A74" s="1" t="s">
        <v>741</v>
      </c>
      <c r="B74" s="2" t="s">
        <v>877</v>
      </c>
    </row>
    <row r="75" spans="1:2" ht="249" thickBot="1" x14ac:dyDescent="0.35">
      <c r="A75" s="1" t="s">
        <v>742</v>
      </c>
      <c r="B75" s="2" t="s">
        <v>878</v>
      </c>
    </row>
    <row r="76" spans="1:2" ht="290.39999999999998" thickBot="1" x14ac:dyDescent="0.35">
      <c r="A76" s="1" t="s">
        <v>743</v>
      </c>
      <c r="B76" s="2" t="s">
        <v>879</v>
      </c>
    </row>
    <row r="77" spans="1:2" ht="235.2" thickBot="1" x14ac:dyDescent="0.35">
      <c r="A77" s="1" t="s">
        <v>744</v>
      </c>
      <c r="B77" s="2" t="s">
        <v>880</v>
      </c>
    </row>
    <row r="78" spans="1:2" ht="249" thickBot="1" x14ac:dyDescent="0.35">
      <c r="A78" s="1" t="s">
        <v>745</v>
      </c>
      <c r="B78" s="2" t="s">
        <v>881</v>
      </c>
    </row>
    <row r="79" spans="1:2" ht="249" thickBot="1" x14ac:dyDescent="0.35">
      <c r="A79" s="1" t="s">
        <v>746</v>
      </c>
      <c r="B79" s="2" t="s">
        <v>882</v>
      </c>
    </row>
    <row r="80" spans="1:2" ht="276.60000000000002" thickBot="1" x14ac:dyDescent="0.35">
      <c r="A80" s="1" t="s">
        <v>747</v>
      </c>
      <c r="B80" s="2" t="s">
        <v>883</v>
      </c>
    </row>
    <row r="81" spans="1:2" ht="262.8" thickBot="1" x14ac:dyDescent="0.35">
      <c r="A81" s="1" t="s">
        <v>748</v>
      </c>
      <c r="B81" s="2" t="s">
        <v>884</v>
      </c>
    </row>
    <row r="82" spans="1:2" ht="207.6" thickBot="1" x14ac:dyDescent="0.35">
      <c r="A82" s="1" t="s">
        <v>749</v>
      </c>
      <c r="B82" s="2" t="s">
        <v>885</v>
      </c>
    </row>
    <row r="83" spans="1:2" ht="262.8" thickBot="1" x14ac:dyDescent="0.35">
      <c r="A83" s="1" t="s">
        <v>750</v>
      </c>
      <c r="B83" s="2" t="s">
        <v>886</v>
      </c>
    </row>
    <row r="84" spans="1:2" ht="55.8" thickBot="1" x14ac:dyDescent="0.35">
      <c r="A84" s="1" t="s">
        <v>751</v>
      </c>
      <c r="B84" s="2" t="s">
        <v>887</v>
      </c>
    </row>
    <row r="85" spans="1:2" ht="221.4" thickBot="1" x14ac:dyDescent="0.35">
      <c r="A85" s="1" t="s">
        <v>752</v>
      </c>
      <c r="B85" s="2" t="s">
        <v>888</v>
      </c>
    </row>
    <row r="86" spans="1:2" ht="207.6" thickBot="1" x14ac:dyDescent="0.35">
      <c r="A86" s="1" t="s">
        <v>753</v>
      </c>
      <c r="B86" s="2" t="s">
        <v>889</v>
      </c>
    </row>
    <row r="87" spans="1:2" ht="180" thickBot="1" x14ac:dyDescent="0.35">
      <c r="A87" s="1" t="s">
        <v>754</v>
      </c>
      <c r="B87" s="2" t="s">
        <v>890</v>
      </c>
    </row>
    <row r="88" spans="1:2" ht="221.4" thickBot="1" x14ac:dyDescent="0.35">
      <c r="A88" s="1" t="s">
        <v>755</v>
      </c>
      <c r="B88" s="2" t="s">
        <v>891</v>
      </c>
    </row>
    <row r="89" spans="1:2" ht="221.4" thickBot="1" x14ac:dyDescent="0.35">
      <c r="A89" s="1" t="s">
        <v>756</v>
      </c>
      <c r="B89" s="2" t="s">
        <v>892</v>
      </c>
    </row>
    <row r="90" spans="1:2" ht="249" thickBot="1" x14ac:dyDescent="0.35">
      <c r="A90" s="1" t="s">
        <v>757</v>
      </c>
      <c r="B90" s="2" t="s">
        <v>893</v>
      </c>
    </row>
    <row r="91" spans="1:2" ht="221.4" thickBot="1" x14ac:dyDescent="0.35">
      <c r="A91" s="1" t="s">
        <v>758</v>
      </c>
      <c r="B91" s="2" t="s">
        <v>894</v>
      </c>
    </row>
    <row r="92" spans="1:2" ht="207.6" thickBot="1" x14ac:dyDescent="0.35">
      <c r="A92" s="1" t="s">
        <v>759</v>
      </c>
      <c r="B92" s="2" t="s">
        <v>895</v>
      </c>
    </row>
    <row r="93" spans="1:2" ht="193.8" thickBot="1" x14ac:dyDescent="0.35">
      <c r="A93" s="1" t="s">
        <v>760</v>
      </c>
      <c r="B93" s="2" t="s">
        <v>896</v>
      </c>
    </row>
    <row r="94" spans="1:2" ht="166.2" thickBot="1" x14ac:dyDescent="0.35">
      <c r="A94" s="1" t="s">
        <v>761</v>
      </c>
      <c r="B94" s="2" t="s">
        <v>897</v>
      </c>
    </row>
    <row r="95" spans="1:2" ht="193.8" thickBot="1" x14ac:dyDescent="0.35">
      <c r="A95" s="1" t="s">
        <v>762</v>
      </c>
      <c r="B95" s="2" t="s">
        <v>898</v>
      </c>
    </row>
    <row r="96" spans="1:2" ht="166.2" thickBot="1" x14ac:dyDescent="0.35">
      <c r="A96" s="1" t="s">
        <v>763</v>
      </c>
      <c r="B96" s="2" t="s">
        <v>899</v>
      </c>
    </row>
    <row r="97" spans="1:2" ht="207.6" thickBot="1" x14ac:dyDescent="0.35">
      <c r="A97" s="1" t="s">
        <v>764</v>
      </c>
      <c r="B97" s="2" t="s">
        <v>900</v>
      </c>
    </row>
    <row r="98" spans="1:2" ht="221.4" thickBot="1" x14ac:dyDescent="0.35">
      <c r="A98" s="1" t="s">
        <v>765</v>
      </c>
      <c r="B98" s="2" t="s">
        <v>901</v>
      </c>
    </row>
    <row r="99" spans="1:2" ht="207.6" thickBot="1" x14ac:dyDescent="0.35">
      <c r="A99" s="1" t="s">
        <v>766</v>
      </c>
      <c r="B99" s="2" t="s">
        <v>902</v>
      </c>
    </row>
    <row r="100" spans="1:2" ht="207.6" thickBot="1" x14ac:dyDescent="0.35">
      <c r="A100" s="1" t="s">
        <v>767</v>
      </c>
      <c r="B100" s="2" t="s">
        <v>903</v>
      </c>
    </row>
    <row r="101" spans="1:2" ht="221.4" thickBot="1" x14ac:dyDescent="0.35">
      <c r="A101" s="1" t="s">
        <v>768</v>
      </c>
      <c r="B101" s="2" t="s">
        <v>904</v>
      </c>
    </row>
    <row r="102" spans="1:2" ht="166.2" thickBot="1" x14ac:dyDescent="0.35">
      <c r="A102" s="1" t="s">
        <v>769</v>
      </c>
      <c r="B102" s="2" t="s">
        <v>905</v>
      </c>
    </row>
    <row r="103" spans="1:2" ht="166.2" thickBot="1" x14ac:dyDescent="0.35">
      <c r="A103" s="1" t="s">
        <v>770</v>
      </c>
      <c r="B103" s="2" t="s">
        <v>906</v>
      </c>
    </row>
    <row r="104" spans="1:2" ht="166.2" thickBot="1" x14ac:dyDescent="0.35">
      <c r="A104" s="1" t="s">
        <v>771</v>
      </c>
      <c r="B104" s="2" t="s">
        <v>907</v>
      </c>
    </row>
    <row r="105" spans="1:2" ht="152.4" thickBot="1" x14ac:dyDescent="0.35">
      <c r="A105" s="1" t="s">
        <v>772</v>
      </c>
      <c r="B105" s="2" t="s">
        <v>908</v>
      </c>
    </row>
    <row r="106" spans="1:2" ht="138.6" thickBot="1" x14ac:dyDescent="0.35">
      <c r="A106" s="1" t="s">
        <v>773</v>
      </c>
      <c r="B106" s="2" t="s">
        <v>909</v>
      </c>
    </row>
    <row r="107" spans="1:2" ht="138.6" thickBot="1" x14ac:dyDescent="0.35">
      <c r="A107" s="1" t="s">
        <v>774</v>
      </c>
      <c r="B107" s="2" t="s">
        <v>910</v>
      </c>
    </row>
    <row r="108" spans="1:2" ht="152.4" thickBot="1" x14ac:dyDescent="0.35">
      <c r="A108" s="1" t="s">
        <v>775</v>
      </c>
      <c r="B108" s="2" t="s">
        <v>911</v>
      </c>
    </row>
    <row r="109" spans="1:2" ht="235.2" thickBot="1" x14ac:dyDescent="0.35">
      <c r="A109" s="1" t="s">
        <v>776</v>
      </c>
      <c r="B109" s="2" t="s">
        <v>912</v>
      </c>
    </row>
    <row r="110" spans="1:2" ht="180" thickBot="1" x14ac:dyDescent="0.35">
      <c r="A110" s="1" t="s">
        <v>777</v>
      </c>
      <c r="B110" s="2" t="s">
        <v>913</v>
      </c>
    </row>
    <row r="111" spans="1:2" ht="166.2" thickBot="1" x14ac:dyDescent="0.35">
      <c r="A111" s="1" t="s">
        <v>778</v>
      </c>
      <c r="B111" s="2" t="s">
        <v>914</v>
      </c>
    </row>
    <row r="112" spans="1:2" ht="152.4" thickBot="1" x14ac:dyDescent="0.35">
      <c r="A112" s="1" t="s">
        <v>779</v>
      </c>
      <c r="B112" s="2" t="s">
        <v>915</v>
      </c>
    </row>
    <row r="113" spans="1:2" ht="152.4" thickBot="1" x14ac:dyDescent="0.35">
      <c r="A113" s="1" t="s">
        <v>780</v>
      </c>
      <c r="B113" s="2" t="s">
        <v>916</v>
      </c>
    </row>
    <row r="114" spans="1:2" ht="124.8" thickBot="1" x14ac:dyDescent="0.35">
      <c r="A114" s="1" t="s">
        <v>781</v>
      </c>
      <c r="B114" s="2" t="s">
        <v>917</v>
      </c>
    </row>
    <row r="115" spans="1:2" ht="152.4" thickBot="1" x14ac:dyDescent="0.35">
      <c r="A115" s="1" t="s">
        <v>782</v>
      </c>
      <c r="B115" s="2" t="s">
        <v>918</v>
      </c>
    </row>
    <row r="116" spans="1:2" ht="166.2" thickBot="1" x14ac:dyDescent="0.35">
      <c r="A116" s="1" t="s">
        <v>783</v>
      </c>
      <c r="B116" s="2" t="s">
        <v>919</v>
      </c>
    </row>
    <row r="117" spans="1:2" ht="138.6" thickBot="1" x14ac:dyDescent="0.35">
      <c r="A117" s="1" t="s">
        <v>784</v>
      </c>
      <c r="B117" s="2" t="s">
        <v>920</v>
      </c>
    </row>
    <row r="118" spans="1:2" ht="138.6" thickBot="1" x14ac:dyDescent="0.35">
      <c r="A118" s="1" t="s">
        <v>785</v>
      </c>
      <c r="B118" s="2" t="s">
        <v>921</v>
      </c>
    </row>
    <row r="119" spans="1:2" ht="138.6" thickBot="1" x14ac:dyDescent="0.35">
      <c r="A119" s="1" t="s">
        <v>786</v>
      </c>
      <c r="B119" s="2" t="s">
        <v>922</v>
      </c>
    </row>
    <row r="120" spans="1:2" ht="124.8" thickBot="1" x14ac:dyDescent="0.35">
      <c r="A120" s="1" t="s">
        <v>787</v>
      </c>
      <c r="B120" s="2" t="s">
        <v>923</v>
      </c>
    </row>
    <row r="121" spans="1:2" ht="262.8" thickBot="1" x14ac:dyDescent="0.35">
      <c r="A121" s="1" t="s">
        <v>788</v>
      </c>
      <c r="B121" s="2" t="s">
        <v>924</v>
      </c>
    </row>
    <row r="122" spans="1:2" ht="290.39999999999998" thickBot="1" x14ac:dyDescent="0.35">
      <c r="A122" s="1" t="s">
        <v>789</v>
      </c>
      <c r="B122" s="2" t="s">
        <v>925</v>
      </c>
    </row>
    <row r="123" spans="1:2" ht="262.8" thickBot="1" x14ac:dyDescent="0.35">
      <c r="A123" s="1" t="s">
        <v>790</v>
      </c>
      <c r="B123" s="2" t="s">
        <v>926</v>
      </c>
    </row>
    <row r="124" spans="1:2" ht="138.6" thickBot="1" x14ac:dyDescent="0.35">
      <c r="A124" s="1" t="s">
        <v>791</v>
      </c>
      <c r="B124" s="2" t="s">
        <v>927</v>
      </c>
    </row>
    <row r="125" spans="1:2" ht="290.39999999999998" thickBot="1" x14ac:dyDescent="0.35">
      <c r="A125" s="1" t="s">
        <v>792</v>
      </c>
      <c r="B125" s="2" t="s">
        <v>928</v>
      </c>
    </row>
    <row r="126" spans="1:2" ht="221.4" thickBot="1" x14ac:dyDescent="0.35">
      <c r="A126" s="1" t="s">
        <v>793</v>
      </c>
      <c r="B126" s="2" t="s">
        <v>929</v>
      </c>
    </row>
    <row r="127" spans="1:2" ht="138.6" thickBot="1" x14ac:dyDescent="0.35">
      <c r="A127" s="1" t="s">
        <v>794</v>
      </c>
      <c r="B127" s="2" t="s">
        <v>930</v>
      </c>
    </row>
    <row r="128" spans="1:2" ht="69.599999999999994" thickBot="1" x14ac:dyDescent="0.35">
      <c r="A128" s="1" t="s">
        <v>795</v>
      </c>
      <c r="B128" s="2" t="s">
        <v>931</v>
      </c>
    </row>
    <row r="129" spans="1:2" ht="111" thickBot="1" x14ac:dyDescent="0.35">
      <c r="A129" s="1" t="s">
        <v>796</v>
      </c>
      <c r="B129" s="2" t="s">
        <v>932</v>
      </c>
    </row>
    <row r="130" spans="1:2" ht="138.6" thickBot="1" x14ac:dyDescent="0.35">
      <c r="A130" s="1" t="s">
        <v>797</v>
      </c>
      <c r="B130" s="2" t="s">
        <v>933</v>
      </c>
    </row>
    <row r="131" spans="1:2" ht="345.6" thickBot="1" x14ac:dyDescent="0.35">
      <c r="A131" s="1" t="s">
        <v>798</v>
      </c>
      <c r="B131" s="2" t="s">
        <v>934</v>
      </c>
    </row>
    <row r="132" spans="1:2" ht="409.6" thickBot="1" x14ac:dyDescent="0.35">
      <c r="A132" s="1" t="s">
        <v>799</v>
      </c>
      <c r="B132" s="2" t="s">
        <v>935</v>
      </c>
    </row>
    <row r="133" spans="1:2" ht="180" thickBot="1" x14ac:dyDescent="0.35">
      <c r="A133" s="1" t="s">
        <v>800</v>
      </c>
      <c r="B133" s="2" t="s">
        <v>936</v>
      </c>
    </row>
    <row r="134" spans="1:2" ht="124.8" thickBot="1" x14ac:dyDescent="0.35">
      <c r="A134" s="1" t="s">
        <v>801</v>
      </c>
      <c r="B134" s="2" t="s">
        <v>937</v>
      </c>
    </row>
    <row r="135" spans="1:2" ht="276.60000000000002" thickBot="1" x14ac:dyDescent="0.35">
      <c r="A135" s="1" t="s">
        <v>802</v>
      </c>
      <c r="B135" s="2" t="s">
        <v>938</v>
      </c>
    </row>
    <row r="136" spans="1:2" ht="276.60000000000002" thickBot="1" x14ac:dyDescent="0.35">
      <c r="A136" s="1" t="s">
        <v>803</v>
      </c>
      <c r="B136" s="2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Sheet1</vt:lpstr>
      <vt:lpstr>Sheet2</vt:lpstr>
      <vt:lpstr>Sheet3</vt:lpstr>
      <vt:lpstr>Sheet5</vt:lpstr>
      <vt:lpstr>Sheet6</vt:lpstr>
      <vt:lpstr>Sheet7</vt:lpstr>
      <vt:lpstr>Sheet9</vt:lpstr>
      <vt:lpstr>Sheet10</vt:lpstr>
      <vt:lpstr>Sheet11</vt:lpstr>
      <vt:lpstr>Sheet8</vt:lpstr>
      <vt:lpstr>Sheet4</vt:lpstr>
      <vt:lpstr>data1</vt:lpstr>
      <vt:lpstr>data3</vt:lpstr>
    </vt:vector>
  </TitlesOfParts>
  <Company>Eurofound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Farrell</dc:creator>
  <cp:lastModifiedBy>Thomas Farrell</cp:lastModifiedBy>
  <dcterms:created xsi:type="dcterms:W3CDTF">2025-11-24T10:16:30Z</dcterms:created>
  <dcterms:modified xsi:type="dcterms:W3CDTF">2025-11-24T13:11:06Z</dcterms:modified>
</cp:coreProperties>
</file>